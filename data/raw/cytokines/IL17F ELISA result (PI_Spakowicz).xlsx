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a02\Desktop\"/>
    </mc:Choice>
  </mc:AlternateContent>
  <xr:revisionPtr revIDLastSave="0" documentId="13_ncr:1_{EFAFA4E3-524F-4125-8D99-41F07FBDCC65}" xr6:coauthVersionLast="47" xr6:coauthVersionMax="47" xr10:uidLastSave="{00000000-0000-0000-0000-000000000000}"/>
  <bookViews>
    <workbookView xWindow="-120" yWindow="-120" windowWidth="29040" windowHeight="15840" xr2:uid="{50E177C0-E3D1-404A-AED4-35AEFAF30174}"/>
  </bookViews>
  <sheets>
    <sheet name="IL17F ELISA result" sheetId="1" r:id="rId1"/>
    <sheet name="OD450-OD540" sheetId="2" r:id="rId2"/>
    <sheet name="original OD 450-540-570 dat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72" i="2" l="1"/>
  <c r="AB72" i="2"/>
  <c r="AA72" i="2"/>
  <c r="Z72" i="2"/>
  <c r="Y72" i="2"/>
  <c r="X72" i="2"/>
  <c r="W72" i="2"/>
  <c r="V72" i="2"/>
  <c r="U72" i="2"/>
  <c r="T72" i="2"/>
  <c r="S72" i="2"/>
  <c r="R72" i="2"/>
  <c r="AC71" i="2"/>
  <c r="AB71" i="2"/>
  <c r="AA71" i="2"/>
  <c r="Z71" i="2"/>
  <c r="Y71" i="2"/>
  <c r="X71" i="2"/>
  <c r="W71" i="2"/>
  <c r="V71" i="2"/>
  <c r="U71" i="2"/>
  <c r="T71" i="2"/>
  <c r="S71" i="2"/>
  <c r="R71" i="2"/>
  <c r="AC70" i="2"/>
  <c r="AB70" i="2"/>
  <c r="AA70" i="2"/>
  <c r="Z70" i="2"/>
  <c r="Y70" i="2"/>
  <c r="X70" i="2"/>
  <c r="W70" i="2"/>
  <c r="V70" i="2"/>
  <c r="U70" i="2"/>
  <c r="T70" i="2"/>
  <c r="S70" i="2"/>
  <c r="R70" i="2"/>
  <c r="AC69" i="2"/>
  <c r="AB69" i="2"/>
  <c r="AA69" i="2"/>
  <c r="Z69" i="2"/>
  <c r="Y69" i="2"/>
  <c r="X69" i="2"/>
  <c r="W69" i="2"/>
  <c r="V69" i="2"/>
  <c r="U69" i="2"/>
  <c r="T69" i="2"/>
  <c r="S69" i="2"/>
  <c r="R69" i="2"/>
  <c r="AC68" i="2"/>
  <c r="AB68" i="2"/>
  <c r="AA68" i="2"/>
  <c r="Z68" i="2"/>
  <c r="Y68" i="2"/>
  <c r="X68" i="2"/>
  <c r="W68" i="2"/>
  <c r="V68" i="2"/>
  <c r="U68" i="2"/>
  <c r="T68" i="2"/>
  <c r="S68" i="2"/>
  <c r="R68" i="2"/>
  <c r="AC67" i="2"/>
  <c r="AB67" i="2"/>
  <c r="AA67" i="2"/>
  <c r="Z67" i="2"/>
  <c r="Y67" i="2"/>
  <c r="X67" i="2"/>
  <c r="W67" i="2"/>
  <c r="V67" i="2"/>
  <c r="U67" i="2"/>
  <c r="T67" i="2"/>
  <c r="S67" i="2"/>
  <c r="R67" i="2"/>
  <c r="AC66" i="2"/>
  <c r="AB66" i="2"/>
  <c r="AA66" i="2"/>
  <c r="Z66" i="2"/>
  <c r="Y66" i="2"/>
  <c r="X66" i="2"/>
  <c r="W66" i="2"/>
  <c r="V66" i="2"/>
  <c r="U66" i="2"/>
  <c r="T66" i="2"/>
  <c r="S66" i="2"/>
  <c r="R66" i="2"/>
  <c r="AC65" i="2"/>
  <c r="AB65" i="2"/>
  <c r="AA65" i="2"/>
  <c r="Z65" i="2"/>
  <c r="Y65" i="2"/>
  <c r="X65" i="2"/>
  <c r="W65" i="2"/>
  <c r="V65" i="2"/>
  <c r="U65" i="2"/>
  <c r="T65" i="2"/>
  <c r="S65" i="2"/>
  <c r="R65" i="2"/>
  <c r="AC42" i="2"/>
  <c r="AB42" i="2"/>
  <c r="AA42" i="2"/>
  <c r="Z42" i="2"/>
  <c r="Y42" i="2"/>
  <c r="X42" i="2"/>
  <c r="W42" i="2"/>
  <c r="V42" i="2"/>
  <c r="U42" i="2"/>
  <c r="T42" i="2"/>
  <c r="S42" i="2"/>
  <c r="R42" i="2"/>
  <c r="AC41" i="2"/>
  <c r="AB41" i="2"/>
  <c r="AA41" i="2"/>
  <c r="Z41" i="2"/>
  <c r="Y41" i="2"/>
  <c r="X41" i="2"/>
  <c r="W41" i="2"/>
  <c r="V41" i="2"/>
  <c r="U41" i="2"/>
  <c r="T41" i="2"/>
  <c r="S41" i="2"/>
  <c r="R41" i="2"/>
  <c r="AC40" i="2"/>
  <c r="AB40" i="2"/>
  <c r="AA40" i="2"/>
  <c r="Z40" i="2"/>
  <c r="Y40" i="2"/>
  <c r="X40" i="2"/>
  <c r="W40" i="2"/>
  <c r="V40" i="2"/>
  <c r="U40" i="2"/>
  <c r="T40" i="2"/>
  <c r="S40" i="2"/>
  <c r="R40" i="2"/>
  <c r="AC39" i="2"/>
  <c r="AB39" i="2"/>
  <c r="AA39" i="2"/>
  <c r="Z39" i="2"/>
  <c r="Y39" i="2"/>
  <c r="X39" i="2"/>
  <c r="W39" i="2"/>
  <c r="V39" i="2"/>
  <c r="U39" i="2"/>
  <c r="T39" i="2"/>
  <c r="S39" i="2"/>
  <c r="R39" i="2"/>
  <c r="AC38" i="2"/>
  <c r="AB38" i="2"/>
  <c r="AA38" i="2"/>
  <c r="Z38" i="2"/>
  <c r="Y38" i="2"/>
  <c r="X38" i="2"/>
  <c r="W38" i="2"/>
  <c r="V38" i="2"/>
  <c r="U38" i="2"/>
  <c r="T38" i="2"/>
  <c r="S38" i="2"/>
  <c r="R38" i="2"/>
  <c r="AC37" i="2"/>
  <c r="AB37" i="2"/>
  <c r="AA37" i="2"/>
  <c r="Z37" i="2"/>
  <c r="Y37" i="2"/>
  <c r="X37" i="2"/>
  <c r="W37" i="2"/>
  <c r="V37" i="2"/>
  <c r="U37" i="2"/>
  <c r="T37" i="2"/>
  <c r="S37" i="2"/>
  <c r="R37" i="2"/>
  <c r="AC36" i="2"/>
  <c r="AB36" i="2"/>
  <c r="AA36" i="2"/>
  <c r="Z36" i="2"/>
  <c r="Y36" i="2"/>
  <c r="X36" i="2"/>
  <c r="W36" i="2"/>
  <c r="V36" i="2"/>
  <c r="U36" i="2"/>
  <c r="T36" i="2"/>
  <c r="S36" i="2"/>
  <c r="R36" i="2"/>
  <c r="AC35" i="2"/>
  <c r="AB35" i="2"/>
  <c r="AA35" i="2"/>
  <c r="Z35" i="2"/>
  <c r="Y35" i="2"/>
  <c r="X35" i="2"/>
  <c r="W35" i="2"/>
  <c r="V35" i="2"/>
  <c r="U35" i="2"/>
  <c r="T35" i="2"/>
  <c r="S35" i="2"/>
  <c r="R35" i="2"/>
  <c r="Z22" i="2"/>
  <c r="Z21" i="2"/>
  <c r="Z20" i="2"/>
  <c r="Z19" i="2"/>
  <c r="Z18" i="2"/>
  <c r="Z17" i="2"/>
  <c r="Z16" i="2"/>
  <c r="Z15" i="2"/>
  <c r="AC12" i="2"/>
  <c r="AB12" i="2"/>
  <c r="AA12" i="2"/>
  <c r="Z12" i="2"/>
  <c r="Y12" i="2"/>
  <c r="X12" i="2"/>
  <c r="W12" i="2"/>
  <c r="V12" i="2"/>
  <c r="U12" i="2"/>
  <c r="T12" i="2"/>
  <c r="S12" i="2"/>
  <c r="R12" i="2"/>
  <c r="AC11" i="2"/>
  <c r="AB11" i="2"/>
  <c r="AA11" i="2"/>
  <c r="Z11" i="2"/>
  <c r="Y11" i="2"/>
  <c r="X11" i="2"/>
  <c r="W11" i="2"/>
  <c r="V11" i="2"/>
  <c r="U11" i="2"/>
  <c r="T11" i="2"/>
  <c r="S11" i="2"/>
  <c r="R11" i="2"/>
  <c r="AC10" i="2"/>
  <c r="AB10" i="2"/>
  <c r="AA10" i="2"/>
  <c r="Z10" i="2"/>
  <c r="Y10" i="2"/>
  <c r="X10" i="2"/>
  <c r="W10" i="2"/>
  <c r="V10" i="2"/>
  <c r="U10" i="2"/>
  <c r="T10" i="2"/>
  <c r="S10" i="2"/>
  <c r="R10" i="2"/>
  <c r="AC9" i="2"/>
  <c r="AB9" i="2"/>
  <c r="AA9" i="2"/>
  <c r="Z9" i="2"/>
  <c r="Y9" i="2"/>
  <c r="X9" i="2"/>
  <c r="W9" i="2"/>
  <c r="V9" i="2"/>
  <c r="U9" i="2"/>
  <c r="T9" i="2"/>
  <c r="S9" i="2"/>
  <c r="R9" i="2"/>
  <c r="AC8" i="2"/>
  <c r="AB8" i="2"/>
  <c r="AA8" i="2"/>
  <c r="Z8" i="2"/>
  <c r="Y8" i="2"/>
  <c r="X8" i="2"/>
  <c r="W8" i="2"/>
  <c r="V8" i="2"/>
  <c r="U8" i="2"/>
  <c r="T8" i="2"/>
  <c r="S8" i="2"/>
  <c r="R8" i="2"/>
  <c r="AC7" i="2"/>
  <c r="AB7" i="2"/>
  <c r="AA7" i="2"/>
  <c r="Z7" i="2"/>
  <c r="Y7" i="2"/>
  <c r="X7" i="2"/>
  <c r="W7" i="2"/>
  <c r="V7" i="2"/>
  <c r="U7" i="2"/>
  <c r="T7" i="2"/>
  <c r="S7" i="2"/>
  <c r="R7" i="2"/>
  <c r="AC6" i="2"/>
  <c r="AB6" i="2"/>
  <c r="AA6" i="2"/>
  <c r="Z6" i="2"/>
  <c r="Y6" i="2"/>
  <c r="X6" i="2"/>
  <c r="W6" i="2"/>
  <c r="V6" i="2"/>
  <c r="U6" i="2"/>
  <c r="T6" i="2"/>
  <c r="S6" i="2"/>
  <c r="R6" i="2"/>
  <c r="AC5" i="2"/>
  <c r="AB5" i="2"/>
  <c r="AA5" i="2"/>
  <c r="Z5" i="2"/>
  <c r="Y5" i="2"/>
  <c r="X5" i="2"/>
  <c r="W5" i="2"/>
  <c r="V5" i="2"/>
  <c r="U5" i="2"/>
  <c r="T5" i="2"/>
  <c r="S5" i="2"/>
  <c r="R5" i="2"/>
  <c r="F144" i="1"/>
  <c r="G144" i="1" s="1"/>
  <c r="H144" i="1" s="1"/>
  <c r="I144" i="1" s="1"/>
  <c r="I143" i="1"/>
  <c r="H143" i="1"/>
  <c r="G143" i="1"/>
  <c r="F143" i="1"/>
  <c r="G142" i="1"/>
  <c r="H142" i="1" s="1"/>
  <c r="I142" i="1" s="1"/>
  <c r="F142" i="1"/>
  <c r="F141" i="1"/>
  <c r="G141" i="1" s="1"/>
  <c r="H141" i="1" s="1"/>
  <c r="I141" i="1" s="1"/>
  <c r="I140" i="1"/>
  <c r="H140" i="1"/>
  <c r="G140" i="1"/>
  <c r="F140" i="1"/>
  <c r="I139" i="1"/>
  <c r="H139" i="1"/>
  <c r="G139" i="1"/>
  <c r="F139" i="1"/>
  <c r="F138" i="1"/>
  <c r="G138" i="1" s="1"/>
  <c r="H138" i="1" s="1"/>
  <c r="I138" i="1" s="1"/>
  <c r="I137" i="1"/>
  <c r="H137" i="1"/>
  <c r="G137" i="1"/>
  <c r="F137" i="1"/>
  <c r="I136" i="1"/>
  <c r="H136" i="1"/>
  <c r="G136" i="1"/>
  <c r="F136" i="1"/>
  <c r="F135" i="1"/>
  <c r="G135" i="1" s="1"/>
  <c r="H135" i="1" s="1"/>
  <c r="I135" i="1" s="1"/>
  <c r="H134" i="1"/>
  <c r="I134" i="1" s="1"/>
  <c r="G134" i="1"/>
  <c r="F134" i="1"/>
  <c r="I133" i="1"/>
  <c r="H133" i="1"/>
  <c r="G133" i="1"/>
  <c r="F133" i="1"/>
  <c r="F132" i="1"/>
  <c r="G132" i="1" s="1"/>
  <c r="H132" i="1" s="1"/>
  <c r="I132" i="1" s="1"/>
  <c r="H131" i="1"/>
  <c r="I131" i="1" s="1"/>
  <c r="G131" i="1"/>
  <c r="F131" i="1"/>
  <c r="I130" i="1"/>
  <c r="H130" i="1"/>
  <c r="G130" i="1"/>
  <c r="F130" i="1"/>
  <c r="F129" i="1"/>
  <c r="G129" i="1" s="1"/>
  <c r="H129" i="1" s="1"/>
  <c r="I129" i="1" s="1"/>
  <c r="H128" i="1"/>
  <c r="I128" i="1" s="1"/>
  <c r="G128" i="1"/>
  <c r="F128" i="1"/>
  <c r="I127" i="1"/>
  <c r="H127" i="1"/>
  <c r="G127" i="1"/>
  <c r="F127" i="1"/>
  <c r="F126" i="1"/>
  <c r="G126" i="1" s="1"/>
  <c r="H126" i="1" s="1"/>
  <c r="I126" i="1" s="1"/>
  <c r="I125" i="1"/>
  <c r="H125" i="1"/>
  <c r="G125" i="1"/>
  <c r="F125" i="1"/>
  <c r="I124" i="1"/>
  <c r="H124" i="1"/>
  <c r="G124" i="1"/>
  <c r="F124" i="1"/>
  <c r="F123" i="1"/>
  <c r="G123" i="1" s="1"/>
  <c r="H123" i="1" s="1"/>
  <c r="I123" i="1" s="1"/>
  <c r="H122" i="1"/>
  <c r="I122" i="1" s="1"/>
  <c r="G122" i="1"/>
  <c r="F122" i="1"/>
  <c r="I121" i="1"/>
  <c r="H121" i="1"/>
  <c r="G121" i="1"/>
  <c r="F121" i="1"/>
  <c r="F120" i="1"/>
  <c r="G120" i="1" s="1"/>
  <c r="H120" i="1" s="1"/>
  <c r="I120" i="1" s="1"/>
  <c r="H119" i="1"/>
  <c r="I119" i="1" s="1"/>
  <c r="G119" i="1"/>
  <c r="F119" i="1"/>
  <c r="I118" i="1"/>
  <c r="H118" i="1"/>
  <c r="G118" i="1"/>
  <c r="F118" i="1"/>
  <c r="F117" i="1"/>
  <c r="G117" i="1" s="1"/>
  <c r="H117" i="1" s="1"/>
  <c r="I117" i="1" s="1"/>
  <c r="H116" i="1"/>
  <c r="I116" i="1" s="1"/>
  <c r="G116" i="1"/>
  <c r="F116" i="1"/>
  <c r="I115" i="1"/>
  <c r="H115" i="1"/>
  <c r="G115" i="1"/>
  <c r="F115" i="1"/>
  <c r="F114" i="1"/>
  <c r="G114" i="1" s="1"/>
  <c r="H114" i="1" s="1"/>
  <c r="I114" i="1" s="1"/>
  <c r="H113" i="1"/>
  <c r="I113" i="1" s="1"/>
  <c r="G113" i="1"/>
  <c r="F113" i="1"/>
  <c r="I112" i="1"/>
  <c r="H112" i="1"/>
  <c r="G112" i="1"/>
  <c r="F112" i="1"/>
  <c r="F111" i="1"/>
  <c r="G111" i="1" s="1"/>
  <c r="H111" i="1" s="1"/>
  <c r="I111" i="1" s="1"/>
  <c r="H110" i="1"/>
  <c r="I110" i="1" s="1"/>
  <c r="G110" i="1"/>
  <c r="F110" i="1"/>
  <c r="I109" i="1"/>
  <c r="H109" i="1"/>
  <c r="G109" i="1"/>
  <c r="F109" i="1"/>
  <c r="F108" i="1"/>
  <c r="G108" i="1" s="1"/>
  <c r="H108" i="1" s="1"/>
  <c r="I108" i="1" s="1"/>
  <c r="H107" i="1"/>
  <c r="I107" i="1" s="1"/>
  <c r="G107" i="1"/>
  <c r="F107" i="1"/>
  <c r="I106" i="1"/>
  <c r="H106" i="1"/>
  <c r="G106" i="1"/>
  <c r="F106" i="1"/>
  <c r="F105" i="1"/>
  <c r="G105" i="1" s="1"/>
  <c r="H105" i="1" s="1"/>
  <c r="I105" i="1" s="1"/>
  <c r="H104" i="1"/>
  <c r="I104" i="1" s="1"/>
  <c r="G104" i="1"/>
  <c r="F104" i="1"/>
  <c r="I103" i="1"/>
  <c r="H103" i="1"/>
  <c r="G103" i="1"/>
  <c r="F103" i="1"/>
  <c r="F102" i="1"/>
  <c r="G102" i="1" s="1"/>
  <c r="H102" i="1" s="1"/>
  <c r="I102" i="1" s="1"/>
  <c r="H101" i="1"/>
  <c r="I101" i="1" s="1"/>
  <c r="G101" i="1"/>
  <c r="F101" i="1"/>
  <c r="I100" i="1"/>
  <c r="H100" i="1"/>
  <c r="G100" i="1"/>
  <c r="F100" i="1"/>
  <c r="F99" i="1"/>
  <c r="G99" i="1" s="1"/>
  <c r="H99" i="1" s="1"/>
  <c r="I99" i="1" s="1"/>
  <c r="H98" i="1"/>
  <c r="I98" i="1" s="1"/>
  <c r="G98" i="1"/>
  <c r="F98" i="1"/>
  <c r="I97" i="1"/>
  <c r="H97" i="1"/>
  <c r="G97" i="1"/>
  <c r="F97" i="1"/>
  <c r="F96" i="1"/>
  <c r="G96" i="1" s="1"/>
  <c r="H96" i="1" s="1"/>
  <c r="I96" i="1" s="1"/>
  <c r="H95" i="1"/>
  <c r="I95" i="1" s="1"/>
  <c r="G95" i="1"/>
  <c r="F95" i="1"/>
  <c r="I94" i="1"/>
  <c r="H94" i="1"/>
  <c r="G94" i="1"/>
  <c r="F94" i="1"/>
  <c r="F93" i="1"/>
  <c r="G93" i="1" s="1"/>
  <c r="H93" i="1" s="1"/>
  <c r="I93" i="1" s="1"/>
  <c r="H92" i="1"/>
  <c r="I92" i="1" s="1"/>
  <c r="G92" i="1"/>
  <c r="F92" i="1"/>
  <c r="I91" i="1"/>
  <c r="H91" i="1"/>
  <c r="G91" i="1"/>
  <c r="F91" i="1"/>
  <c r="F90" i="1"/>
  <c r="G90" i="1" s="1"/>
  <c r="H90" i="1" s="1"/>
  <c r="I90" i="1" s="1"/>
  <c r="H89" i="1"/>
  <c r="I89" i="1" s="1"/>
  <c r="G89" i="1"/>
  <c r="F89" i="1"/>
  <c r="I88" i="1"/>
  <c r="H88" i="1"/>
  <c r="G88" i="1"/>
  <c r="F88" i="1"/>
  <c r="F87" i="1"/>
  <c r="G87" i="1" s="1"/>
  <c r="H87" i="1" s="1"/>
  <c r="I87" i="1" s="1"/>
  <c r="H86" i="1"/>
  <c r="I86" i="1" s="1"/>
  <c r="G86" i="1"/>
  <c r="F86" i="1"/>
  <c r="I85" i="1"/>
  <c r="H85" i="1"/>
  <c r="G85" i="1"/>
  <c r="F85" i="1"/>
  <c r="F84" i="1"/>
  <c r="G84" i="1" s="1"/>
  <c r="H84" i="1" s="1"/>
  <c r="I84" i="1" s="1"/>
  <c r="H83" i="1"/>
  <c r="I83" i="1" s="1"/>
  <c r="G83" i="1"/>
  <c r="F83" i="1"/>
  <c r="I82" i="1"/>
  <c r="H82" i="1"/>
  <c r="G82" i="1"/>
  <c r="F82" i="1"/>
  <c r="F81" i="1"/>
  <c r="G81" i="1" s="1"/>
  <c r="H81" i="1" s="1"/>
  <c r="I81" i="1" s="1"/>
  <c r="H80" i="1"/>
  <c r="I80" i="1" s="1"/>
  <c r="G80" i="1"/>
  <c r="F80" i="1"/>
  <c r="I79" i="1"/>
  <c r="H79" i="1"/>
  <c r="G79" i="1"/>
  <c r="F79" i="1"/>
  <c r="F78" i="1"/>
  <c r="G78" i="1" s="1"/>
  <c r="H78" i="1" s="1"/>
  <c r="I78" i="1" s="1"/>
  <c r="H77" i="1"/>
  <c r="I77" i="1" s="1"/>
  <c r="G77" i="1"/>
  <c r="F77" i="1"/>
  <c r="I76" i="1"/>
  <c r="H76" i="1"/>
  <c r="G76" i="1"/>
  <c r="F76" i="1"/>
  <c r="F75" i="1"/>
  <c r="G75" i="1" s="1"/>
  <c r="H75" i="1" s="1"/>
  <c r="I75" i="1" s="1"/>
  <c r="H74" i="1"/>
  <c r="I74" i="1" s="1"/>
  <c r="G74" i="1"/>
  <c r="F74" i="1"/>
  <c r="I73" i="1"/>
  <c r="H73" i="1"/>
  <c r="G73" i="1"/>
  <c r="F73" i="1"/>
  <c r="F72" i="1"/>
  <c r="G72" i="1" s="1"/>
  <c r="H72" i="1" s="1"/>
  <c r="I72" i="1" s="1"/>
  <c r="H71" i="1"/>
  <c r="I71" i="1" s="1"/>
  <c r="G71" i="1"/>
  <c r="F71" i="1"/>
  <c r="I70" i="1"/>
  <c r="H70" i="1"/>
  <c r="G70" i="1"/>
  <c r="F70" i="1"/>
  <c r="F69" i="1"/>
  <c r="G69" i="1" s="1"/>
  <c r="H69" i="1" s="1"/>
  <c r="I69" i="1" s="1"/>
  <c r="H68" i="1"/>
  <c r="I68" i="1" s="1"/>
  <c r="G68" i="1"/>
  <c r="F68" i="1"/>
  <c r="I67" i="1"/>
  <c r="H67" i="1"/>
  <c r="G67" i="1"/>
  <c r="F67" i="1"/>
  <c r="F66" i="1"/>
  <c r="G66" i="1" s="1"/>
  <c r="H66" i="1" s="1"/>
  <c r="I66" i="1" s="1"/>
  <c r="H65" i="1"/>
  <c r="I65" i="1" s="1"/>
  <c r="G65" i="1"/>
  <c r="F65" i="1"/>
  <c r="I64" i="1"/>
  <c r="H64" i="1"/>
  <c r="G64" i="1"/>
  <c r="F64" i="1"/>
  <c r="F63" i="1"/>
  <c r="G63" i="1" s="1"/>
  <c r="H63" i="1" s="1"/>
  <c r="I63" i="1" s="1"/>
  <c r="H62" i="1"/>
  <c r="I62" i="1" s="1"/>
  <c r="G62" i="1"/>
  <c r="F62" i="1"/>
  <c r="I61" i="1"/>
  <c r="H61" i="1"/>
  <c r="G61" i="1"/>
  <c r="F61" i="1"/>
  <c r="F60" i="1"/>
  <c r="G60" i="1" s="1"/>
  <c r="H60" i="1" s="1"/>
  <c r="I60" i="1" s="1"/>
  <c r="H59" i="1"/>
  <c r="I59" i="1" s="1"/>
  <c r="G59" i="1"/>
  <c r="F59" i="1"/>
  <c r="I58" i="1"/>
  <c r="H58" i="1"/>
  <c r="G58" i="1"/>
  <c r="F58" i="1"/>
  <c r="F57" i="1"/>
  <c r="G57" i="1" s="1"/>
  <c r="H57" i="1" s="1"/>
  <c r="I57" i="1" s="1"/>
  <c r="H56" i="1"/>
  <c r="I56" i="1" s="1"/>
  <c r="G56" i="1"/>
  <c r="F56" i="1"/>
  <c r="I55" i="1"/>
  <c r="H55" i="1"/>
  <c r="G55" i="1"/>
  <c r="F55" i="1"/>
  <c r="F54" i="1"/>
  <c r="G54" i="1" s="1"/>
  <c r="H54" i="1" s="1"/>
  <c r="I54" i="1" s="1"/>
  <c r="H53" i="1"/>
  <c r="I53" i="1" s="1"/>
  <c r="G53" i="1"/>
  <c r="F53" i="1"/>
  <c r="I52" i="1"/>
  <c r="H52" i="1"/>
  <c r="G52" i="1"/>
  <c r="F52" i="1"/>
  <c r="F51" i="1"/>
  <c r="G51" i="1" s="1"/>
  <c r="H51" i="1" s="1"/>
  <c r="I51" i="1" s="1"/>
  <c r="H50" i="1"/>
  <c r="I50" i="1" s="1"/>
  <c r="G50" i="1"/>
  <c r="F50" i="1"/>
  <c r="I49" i="1"/>
  <c r="H49" i="1"/>
  <c r="G49" i="1"/>
  <c r="F49" i="1"/>
  <c r="F48" i="1"/>
  <c r="G48" i="1" s="1"/>
  <c r="H48" i="1" s="1"/>
  <c r="I48" i="1" s="1"/>
  <c r="H47" i="1"/>
  <c r="I47" i="1" s="1"/>
  <c r="G47" i="1"/>
  <c r="F47" i="1"/>
  <c r="I46" i="1"/>
  <c r="H46" i="1"/>
  <c r="G46" i="1"/>
  <c r="F46" i="1"/>
  <c r="F45" i="1"/>
  <c r="G45" i="1" s="1"/>
  <c r="H45" i="1" s="1"/>
  <c r="I45" i="1" s="1"/>
  <c r="H44" i="1"/>
  <c r="I44" i="1" s="1"/>
  <c r="G44" i="1"/>
  <c r="F44" i="1"/>
  <c r="I43" i="1"/>
  <c r="H43" i="1"/>
  <c r="G43" i="1"/>
  <c r="F43" i="1"/>
  <c r="F42" i="1"/>
  <c r="G42" i="1" s="1"/>
  <c r="H42" i="1" s="1"/>
  <c r="I42" i="1" s="1"/>
  <c r="H41" i="1"/>
  <c r="I41" i="1" s="1"/>
  <c r="G41" i="1"/>
  <c r="F41" i="1"/>
  <c r="I40" i="1"/>
  <c r="H40" i="1"/>
  <c r="G40" i="1"/>
  <c r="F40" i="1"/>
  <c r="F39" i="1"/>
  <c r="G39" i="1" s="1"/>
  <c r="H39" i="1" s="1"/>
  <c r="I39" i="1" s="1"/>
  <c r="H38" i="1"/>
  <c r="I38" i="1" s="1"/>
  <c r="G38" i="1"/>
  <c r="F38" i="1"/>
  <c r="I37" i="1"/>
  <c r="H37" i="1"/>
  <c r="G37" i="1"/>
  <c r="F37" i="1"/>
  <c r="F36" i="1"/>
  <c r="G36" i="1" s="1"/>
  <c r="H36" i="1" s="1"/>
  <c r="I36" i="1" s="1"/>
  <c r="H35" i="1"/>
  <c r="I35" i="1" s="1"/>
  <c r="G35" i="1"/>
  <c r="F35" i="1"/>
  <c r="I34" i="1"/>
  <c r="H34" i="1"/>
  <c r="G34" i="1"/>
  <c r="F34" i="1"/>
  <c r="F33" i="1"/>
  <c r="G33" i="1" s="1"/>
  <c r="H33" i="1" s="1"/>
  <c r="I33" i="1" s="1"/>
  <c r="H32" i="1"/>
  <c r="I32" i="1" s="1"/>
  <c r="G32" i="1"/>
  <c r="F32" i="1"/>
  <c r="I31" i="1"/>
  <c r="H31" i="1"/>
  <c r="G31" i="1"/>
  <c r="F31" i="1"/>
  <c r="F30" i="1"/>
  <c r="G30" i="1" s="1"/>
  <c r="H30" i="1" s="1"/>
  <c r="I30" i="1" s="1"/>
  <c r="H29" i="1"/>
  <c r="I29" i="1" s="1"/>
  <c r="G29" i="1"/>
  <c r="F29" i="1"/>
  <c r="I28" i="1"/>
  <c r="H28" i="1"/>
  <c r="G28" i="1"/>
  <c r="F28" i="1"/>
  <c r="F27" i="1"/>
  <c r="G27" i="1" s="1"/>
  <c r="H27" i="1" s="1"/>
  <c r="I27" i="1" s="1"/>
  <c r="H26" i="1"/>
  <c r="I26" i="1" s="1"/>
  <c r="G26" i="1"/>
  <c r="F26" i="1"/>
  <c r="I25" i="1"/>
  <c r="H25" i="1"/>
  <c r="G25" i="1"/>
  <c r="F25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<sst xmlns="http://schemas.openxmlformats.org/spreadsheetml/2006/main" count="229" uniqueCount="159">
  <si>
    <t>standard curve</t>
  </si>
  <si>
    <t>Standard conc. (pg/ml)</t>
  </si>
  <si>
    <t>Standard OD450- OD540</t>
  </si>
  <si>
    <t>Average Standard OD</t>
  </si>
  <si>
    <t>Blank</t>
  </si>
  <si>
    <t>conc (pg/ml)</t>
  </si>
  <si>
    <t>Average OD 450- OD 540</t>
  </si>
  <si>
    <t>Average of each standard- average blank</t>
  </si>
  <si>
    <t>SPAKOWICZ's IL17F ELISA RESULT</t>
  </si>
  <si>
    <t>S.No.</t>
  </si>
  <si>
    <t>Spakowicz Plasma Sample ID</t>
  </si>
  <si>
    <t>OD 450 - OD 540</t>
  </si>
  <si>
    <t>Average OD</t>
  </si>
  <si>
    <t>average sample OD-average blank OD</t>
  </si>
  <si>
    <t xml:space="preserve">Conc. (pg/ml) </t>
  </si>
  <si>
    <t>Conc. (pg/ml)*fold dilution</t>
  </si>
  <si>
    <t>Spakowicz Plasma Sample PT: 01-1</t>
  </si>
  <si>
    <t>Spakowicz Plasma Sample PT: 01-2</t>
  </si>
  <si>
    <t>Spakowicz Plasma Sample PT: 01-3</t>
  </si>
  <si>
    <t>Spakowicz Plasma Sample PT: 01-4</t>
  </si>
  <si>
    <t>Spakowicz Plasma Sample PT: 03-1</t>
  </si>
  <si>
    <t>Spakowicz Plasma Sample PT: 03-2</t>
  </si>
  <si>
    <t>Spakowicz Plasma Sample PT: 03-3</t>
  </si>
  <si>
    <t>Spakowicz Plasma Sample PT: 03-4</t>
  </si>
  <si>
    <t>Spakowicz Plasma Sample PT: 05-1</t>
  </si>
  <si>
    <t>Spakowicz Plasma Sample PT: 05-2</t>
  </si>
  <si>
    <t>Spakowicz Plasma Sample PT: 05-3.1</t>
  </si>
  <si>
    <t>Spakowicz Plasma Sample PT: 05-4</t>
  </si>
  <si>
    <t>Spakowicz Plasma Sample PT: 07-1</t>
  </si>
  <si>
    <t>Spakowicz Plasma Sample PT: 07-2</t>
  </si>
  <si>
    <t>Spakowicz Plasma Sample PT: 07-3.1</t>
  </si>
  <si>
    <t>Spakowicz Plasma Sample PT: 07-4</t>
  </si>
  <si>
    <t>Spakowicz Plasma Sample PT: 17-1</t>
  </si>
  <si>
    <t>Spakowicz Plasma Sample PT: 17-2</t>
  </si>
  <si>
    <t>Spakowicz Plasma Sample PT: 17-3</t>
  </si>
  <si>
    <t>Spakowicz Plasma Sample PT: 17-4</t>
  </si>
  <si>
    <t>Spakowicz Plasma Sample PT: 19-1</t>
  </si>
  <si>
    <t>Spakowicz Plasma Sample PT: 19-2</t>
  </si>
  <si>
    <t>Spakowicz Plasma Sample PT: 19-3</t>
  </si>
  <si>
    <t>Spakowicz Plasma Sample PT: 19-4</t>
  </si>
  <si>
    <t>Spakowicz Plasma Sample PT: 21-1.1</t>
  </si>
  <si>
    <t>Spakowicz Plasma Sample PT: 21-2</t>
  </si>
  <si>
    <t>Spakowicz Plasma Sample PT: 21-3</t>
  </si>
  <si>
    <t>Spakowicz Plasma Sample PT: 21-4</t>
  </si>
  <si>
    <t>Spakowicz Plasma Sample PT: 24-1</t>
  </si>
  <si>
    <t>Spakowicz Plasma Sample PT: 24-2</t>
  </si>
  <si>
    <t>Spakowicz Plasma Sample PT: 24-3</t>
  </si>
  <si>
    <t>Spakowicz Plasma Sample PT: 24-4</t>
  </si>
  <si>
    <t>Spakowicz Plasma Sample PT: 52-1</t>
  </si>
  <si>
    <t>Spakowicz Plasma Sample PT: 52-2</t>
  </si>
  <si>
    <t>Spakowicz Plasma Sample PT: 52-3</t>
  </si>
  <si>
    <t>Spakowicz Plasma Sample PT: 52-4</t>
  </si>
  <si>
    <t>Spakowicz Plasma Sample PT: 55-1</t>
  </si>
  <si>
    <t>Spakowicz Plasma Sample PT: 55-2</t>
  </si>
  <si>
    <t>Spakowicz Plasma Sample PT: 55-3</t>
  </si>
  <si>
    <t>Spakowicz Plasma Sample PT: 55-4</t>
  </si>
  <si>
    <t>Spakowicz Plasma Sample PT: 57-1</t>
  </si>
  <si>
    <t>Spakowicz Plasma Sample PT: 57-2</t>
  </si>
  <si>
    <t>Spakowicz Plasma Sample PT: 57-3</t>
  </si>
  <si>
    <t>Spakowicz Plasma Sample PT: 57-4</t>
  </si>
  <si>
    <t>Spakowicz Plasma Sample PT: 58-1</t>
  </si>
  <si>
    <t>Spakowicz Plasma Sample PT: 58-2</t>
  </si>
  <si>
    <t>Spakowicz Plasma Sample PT: 58-3</t>
  </si>
  <si>
    <t>Spakowicz Plasma Sample PT: 58-4</t>
  </si>
  <si>
    <t>Spakowicz Plasma Sample PT: 60-1</t>
  </si>
  <si>
    <t>Spakowicz Plasma Sample PT: 60-2</t>
  </si>
  <si>
    <t>Spakowicz Plasma Sample PT: 60-3</t>
  </si>
  <si>
    <t>Spakowicz Plasma Sample PT: 60-4</t>
  </si>
  <si>
    <t>Spakowicz Plasma Sample PT: 61-1</t>
  </si>
  <si>
    <t>Spakowicz Plasma Sample PT: 61-2</t>
  </si>
  <si>
    <t>Spakowicz Plasma Sample PT: 61-3</t>
  </si>
  <si>
    <t>Spakowicz Plasma Sample PT: 61-4</t>
  </si>
  <si>
    <t>Spakowicz Plasma Sample PT: 62-1</t>
  </si>
  <si>
    <t>Spakowicz Plasma Sample PT: 62-2</t>
  </si>
  <si>
    <t>Spakowicz Plasma Sample PT: 62-3</t>
  </si>
  <si>
    <t>Spakowicz Plasma Sample PT: 62-4</t>
  </si>
  <si>
    <t>Spakowicz Plasma Sample PT: 64-1</t>
  </si>
  <si>
    <t>Spakowicz Plasma Sample PT: 64-2</t>
  </si>
  <si>
    <t>Spakowicz Plasma Sample PT: 64-3</t>
  </si>
  <si>
    <t>Spakowicz Plasma Sample PT: 64-4</t>
  </si>
  <si>
    <t>Spakowicz Plasma Sample PT: 66-1</t>
  </si>
  <si>
    <t>Spakowicz Plasma Sample PT: 66-2</t>
  </si>
  <si>
    <t>Spakowicz Plasma Sample PT: 66-3</t>
  </si>
  <si>
    <t>Spakowicz Plasma Sample PT: 66-4</t>
  </si>
  <si>
    <t>Spakowicz Plasma Sample PT: 68-1</t>
  </si>
  <si>
    <t>Spakowicz Plasma Sample PT: 68-2</t>
  </si>
  <si>
    <t>Spakowicz Plasma Sample PT: 68-3</t>
  </si>
  <si>
    <t>Spakowicz Plasma Sample PT: 68-4</t>
  </si>
  <si>
    <t>Spakowicz Plasma Sample PT: 70-1</t>
  </si>
  <si>
    <t>Spakowicz Plasma Sample PT: 70-2</t>
  </si>
  <si>
    <t>Spakowicz Plasma Sample PT: 70-3</t>
  </si>
  <si>
    <t>Spakowicz Plasma Sample PT: 70-4</t>
  </si>
  <si>
    <t>Spakowicz Plasma Sample PT: 71-1</t>
  </si>
  <si>
    <t>Spakowicz Plasma Sample PT: 71-2</t>
  </si>
  <si>
    <t>Spakowicz Plasma Sample PT: 71-3</t>
  </si>
  <si>
    <t>Spakowicz Plasma Sample PT: 71-4</t>
  </si>
  <si>
    <t>Spakowicz Plasma Sample PT: 76-1</t>
  </si>
  <si>
    <t>Spakowicz Plasma Sample PT: 76-2</t>
  </si>
  <si>
    <t>Spakowicz Plasma Sample PT: 76-3</t>
  </si>
  <si>
    <t>Spakowicz Plasma Sample PT: 76-4</t>
  </si>
  <si>
    <t>Spakowicz Plasma Sample PT: 77-1</t>
  </si>
  <si>
    <t>Spakowicz Plasma Sample PT: 77-2</t>
  </si>
  <si>
    <t>Spakowicz Plasma Sample PT: 77-3</t>
  </si>
  <si>
    <t>Spakowicz Plasma Sample PT: 77-4</t>
  </si>
  <si>
    <t>Spakowicz Plasma Sample PT: 79-1</t>
  </si>
  <si>
    <t>Spakowicz Plasma Sample PT: 79-2</t>
  </si>
  <si>
    <t>Spakowicz Plasma Sample PT: 79-3</t>
  </si>
  <si>
    <t>Spakowicz Plasma Sample PT: 79-4</t>
  </si>
  <si>
    <t>Spakowicz Plasma Sample PT: 81-1</t>
  </si>
  <si>
    <t>Spakowicz Plasma Sample PT: 81-2</t>
  </si>
  <si>
    <t>Spakowicz Plasma Sample PT: 81-3</t>
  </si>
  <si>
    <t>Spakowicz Plasma Sample PT: 81-4</t>
  </si>
  <si>
    <t>Spakowicz Plasma Sample PT: 84-1</t>
  </si>
  <si>
    <t>Spakowicz Plasma Sample PT: 84-2</t>
  </si>
  <si>
    <t>Spakowicz Plasma Sample PT: 84-3</t>
  </si>
  <si>
    <t>Spakowicz Plasma Sample PT: 84-4</t>
  </si>
  <si>
    <t>Spakowicz Plasma Sample PT: 95-1</t>
  </si>
  <si>
    <t>Spakowicz Plasma Sample PT: 95-2</t>
  </si>
  <si>
    <t>Spakowicz Plasma Sample PT: 95-3</t>
  </si>
  <si>
    <t>Spakowicz Plasma Sample PT: 95-4</t>
  </si>
  <si>
    <t>Spakowicz Plasma Sample PT: 96-1</t>
  </si>
  <si>
    <t>Spakowicz Plasma Sample PT: 96-2</t>
  </si>
  <si>
    <t>Spakowicz Plasma Sample PT: 96-3</t>
  </si>
  <si>
    <t>Spakowicz Plasma Sample PT: 96-4</t>
  </si>
  <si>
    <t>Spakowicz Plasma Sample PT: 99-1</t>
  </si>
  <si>
    <t>Spakowicz Plasma Sample PT: 99-2</t>
  </si>
  <si>
    <t>Spakowicz Plasma Sample PT: 99-3</t>
  </si>
  <si>
    <t>Spakowicz Plasma Sample PT: 99-4</t>
  </si>
  <si>
    <t>Spakowicz Plasma Sample PT: 101-1</t>
  </si>
  <si>
    <t>Spakowicz Plasma Sample PT: 101-2</t>
  </si>
  <si>
    <t>Spakowicz Plasma Sample PT: 101-3</t>
  </si>
  <si>
    <t>Spakowicz Plasma Sample PT: 101-4</t>
  </si>
  <si>
    <t>Spakowicz Plasma Sample PT: 102-1</t>
  </si>
  <si>
    <t>Spakowicz Plasma Sample PT: 102-2</t>
  </si>
  <si>
    <t>Spakowicz Plasma Sample PT: 102-3</t>
  </si>
  <si>
    <t>Spakowicz Plasma Sample PT: 102-4</t>
  </si>
  <si>
    <t>1-40 samples</t>
  </si>
  <si>
    <t>Samples 1-40           OD 450 - OD 540</t>
  </si>
  <si>
    <t>A</t>
  </si>
  <si>
    <t>B</t>
  </si>
  <si>
    <t>C</t>
  </si>
  <si>
    <t>D</t>
  </si>
  <si>
    <t>E</t>
  </si>
  <si>
    <t>F</t>
  </si>
  <si>
    <t>G</t>
  </si>
  <si>
    <t>H</t>
  </si>
  <si>
    <t>41-80 samples</t>
  </si>
  <si>
    <t>Samples 41-80             OD 450 - OD 540</t>
  </si>
  <si>
    <t>81-120 samples</t>
  </si>
  <si>
    <t>Samples 81-120             OD 450 - OD 540</t>
  </si>
  <si>
    <t>Highlighted cell</t>
  </si>
  <si>
    <t>Indication</t>
  </si>
  <si>
    <t>Standards &amp; Blank</t>
  </si>
  <si>
    <t>OD    1-40 samples</t>
  </si>
  <si>
    <t>set of data used for calculation</t>
  </si>
  <si>
    <t>OD (nm)</t>
  </si>
  <si>
    <t>OD     41-80 samples</t>
  </si>
  <si>
    <t>OD      81-120 samples</t>
  </si>
  <si>
    <r>
      <t xml:space="preserve">Fold dilution is </t>
    </r>
    <r>
      <rPr>
        <b/>
        <sz val="14"/>
        <color rgb="FFFF0000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</si>
</sst>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1"/>
      <color theme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2E4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8" fillId="0" borderId="0" xfId="0" applyFont="1"/>
    <xf numFmtId="0" fontId="1" fillId="0" borderId="5" xfId="0" applyFont="1" applyBorder="1" applyAlignment="1">
      <alignment horizontal="center"/>
    </xf>
    <xf numFmtId="0" fontId="0" fillId="5" borderId="0" xfId="0" applyFill="1"/>
    <xf numFmtId="0" fontId="15" fillId="5" borderId="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7218309927252404"/>
                  <c:y val="9.7291165050649664E-2"/>
                </c:manualLayout>
              </c:layout>
              <c:numFmt formatCode="General" sourceLinked="0"/>
            </c:trendlineLbl>
          </c:trendline>
          <c:cat>
            <c:numRef>
              <c:f>'[1]IL17F ELISA result'!$A$15:$A$21</c:f>
              <c:numCache>
                <c:formatCode>General</c:formatCode>
                <c:ptCount val="7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cat>
          <c:val>
            <c:numRef>
              <c:f>'[1]IL17F ELISA result'!$B$15:$B$21</c:f>
              <c:numCache>
                <c:formatCode>General</c:formatCode>
                <c:ptCount val="7"/>
                <c:pt idx="0">
                  <c:v>0.3051666666666667</c:v>
                </c:pt>
                <c:pt idx="1">
                  <c:v>0.36150000000000004</c:v>
                </c:pt>
                <c:pt idx="2">
                  <c:v>0.46333333333333337</c:v>
                </c:pt>
                <c:pt idx="3">
                  <c:v>0.66133333333333333</c:v>
                </c:pt>
                <c:pt idx="4">
                  <c:v>1.0591666666666666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A-4102-B483-6F8B29296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5568"/>
        <c:axId val="94447104"/>
      </c:lineChart>
      <c:catAx>
        <c:axId val="9444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Conc. (pg/ml)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4447104"/>
        <c:crosses val="autoZero"/>
        <c:auto val="1"/>
        <c:lblAlgn val="ctr"/>
        <c:lblOffset val="100"/>
        <c:noMultiLvlLbl val="0"/>
      </c:catAx>
      <c:valAx>
        <c:axId val="94447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OD</a:t>
                </a:r>
                <a:r>
                  <a:rPr lang="en-US" baseline="0"/>
                  <a:t> (450-540)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4455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0</xdr:row>
      <xdr:rowOff>57150</xdr:rowOff>
    </xdr:from>
    <xdr:to>
      <xdr:col>6</xdr:col>
      <xdr:colOff>1666875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AC1A5-2612-4833-A6D7-060C98F57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akowicz%20IL17F%20ELISA%20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L17F ELISA result"/>
      <sheetName val="OD450-OD540"/>
      <sheetName val="original OD 450-540-570 data"/>
    </sheetNames>
    <sheetDataSet>
      <sheetData sheetId="0">
        <row r="15">
          <cell r="A15">
            <v>12.5</v>
          </cell>
          <cell r="B15">
            <v>0.3051666666666667</v>
          </cell>
        </row>
        <row r="16">
          <cell r="A16">
            <v>25</v>
          </cell>
          <cell r="B16">
            <v>0.36150000000000004</v>
          </cell>
        </row>
        <row r="17">
          <cell r="A17">
            <v>50</v>
          </cell>
          <cell r="B17">
            <v>0.46333333333333337</v>
          </cell>
        </row>
        <row r="18">
          <cell r="A18">
            <v>100</v>
          </cell>
          <cell r="B18">
            <v>0.66133333333333333</v>
          </cell>
        </row>
        <row r="19">
          <cell r="A19">
            <v>200</v>
          </cell>
          <cell r="B19">
            <v>1.0591666666666666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0ACA-7B22-4AEA-A6DA-0DE1260A8AC4}">
  <dimension ref="A1:R144"/>
  <sheetViews>
    <sheetView tabSelected="1" topLeftCell="A16" workbookViewId="0">
      <selection activeCell="I24" sqref="I24"/>
    </sheetView>
  </sheetViews>
  <sheetFormatPr defaultColWidth="9.140625" defaultRowHeight="15" x14ac:dyDescent="0.25"/>
  <cols>
    <col min="1" max="1" width="6.5703125" style="1" customWidth="1"/>
    <col min="2" max="2" width="32.85546875" style="6" customWidth="1"/>
    <col min="3" max="3" width="27.42578125" style="6" customWidth="1"/>
    <col min="4" max="4" width="16.28515625" style="1" customWidth="1"/>
    <col min="5" max="5" width="17" style="1" customWidth="1"/>
    <col min="6" max="6" width="14.5703125" style="1" customWidth="1"/>
    <col min="7" max="7" width="35.7109375" style="3" customWidth="1"/>
    <col min="8" max="8" width="19.28515625" style="1" customWidth="1"/>
    <col min="9" max="9" width="19.7109375" style="3" customWidth="1"/>
    <col min="10" max="10" width="20.5703125" style="1" customWidth="1"/>
    <col min="11" max="16384" width="9.140625" style="1"/>
  </cols>
  <sheetData>
    <row r="1" spans="1:18" x14ac:dyDescent="0.25">
      <c r="B1" s="2"/>
      <c r="C1" s="2"/>
      <c r="D1" s="3"/>
      <c r="E1" s="3"/>
      <c r="F1" s="3"/>
      <c r="H1" s="3"/>
    </row>
    <row r="2" spans="1:18" ht="45" x14ac:dyDescent="0.25">
      <c r="B2" s="2"/>
      <c r="C2" s="2" t="s">
        <v>0</v>
      </c>
      <c r="E2"/>
      <c r="F2" s="51"/>
      <c r="G2" s="51"/>
      <c r="J2" s="4" t="s">
        <v>1</v>
      </c>
      <c r="K2" s="52" t="s">
        <v>2</v>
      </c>
      <c r="L2" s="52"/>
      <c r="M2" s="52"/>
      <c r="N2" s="52"/>
      <c r="O2" s="52"/>
      <c r="P2" s="52"/>
      <c r="Q2"/>
      <c r="R2" s="5" t="s">
        <v>3</v>
      </c>
    </row>
    <row r="3" spans="1:18" x14ac:dyDescent="0.25">
      <c r="E3"/>
      <c r="F3" s="53"/>
      <c r="G3" s="53"/>
      <c r="J3" s="3">
        <v>800</v>
      </c>
      <c r="K3">
        <v>2.2850000000000001</v>
      </c>
      <c r="L3">
        <v>1.9369999999999998</v>
      </c>
      <c r="M3">
        <v>2.9210000000000003</v>
      </c>
      <c r="N3">
        <v>3.073</v>
      </c>
      <c r="O3">
        <v>2.444</v>
      </c>
      <c r="P3">
        <v>2.3850000000000002</v>
      </c>
      <c r="Q3"/>
      <c r="R3">
        <f>AVERAGE(K3:P3)</f>
        <v>2.5074999999999998</v>
      </c>
    </row>
    <row r="4" spans="1:18" x14ac:dyDescent="0.25">
      <c r="E4"/>
      <c r="F4" s="53"/>
      <c r="G4" s="53"/>
      <c r="J4" s="3">
        <v>400</v>
      </c>
      <c r="K4">
        <v>1.5610000000000002</v>
      </c>
      <c r="L4">
        <v>1.627</v>
      </c>
      <c r="M4">
        <v>2.0330000000000004</v>
      </c>
      <c r="N4">
        <v>2.0580000000000003</v>
      </c>
      <c r="O4">
        <v>1.6120000000000001</v>
      </c>
      <c r="P4">
        <v>1.397</v>
      </c>
      <c r="Q4"/>
      <c r="R4">
        <f t="shared" ref="R4:R10" si="0">AVERAGE(K4:P4)</f>
        <v>1.7146666666666668</v>
      </c>
    </row>
    <row r="5" spans="1:18" x14ac:dyDescent="0.25">
      <c r="E5"/>
      <c r="F5" s="7"/>
      <c r="G5" s="8"/>
      <c r="J5" s="9">
        <v>200</v>
      </c>
      <c r="K5">
        <v>1.004</v>
      </c>
      <c r="L5">
        <v>1.1059999999999999</v>
      </c>
      <c r="M5">
        <v>1.2609999999999999</v>
      </c>
      <c r="N5">
        <v>1.3380000000000001</v>
      </c>
      <c r="O5">
        <v>0.98599999999999999</v>
      </c>
      <c r="P5">
        <v>0.876</v>
      </c>
      <c r="Q5"/>
      <c r="R5">
        <f t="shared" si="0"/>
        <v>1.0951666666666666</v>
      </c>
    </row>
    <row r="6" spans="1:18" ht="15" customHeight="1" x14ac:dyDescent="0.25">
      <c r="E6"/>
      <c r="F6" s="7"/>
      <c r="G6" s="8"/>
      <c r="J6" s="3">
        <v>100</v>
      </c>
      <c r="K6">
        <v>0.78799999999999992</v>
      </c>
      <c r="L6">
        <v>0.72799999999999998</v>
      </c>
      <c r="M6">
        <v>0.754</v>
      </c>
      <c r="N6">
        <v>0.78699999999999992</v>
      </c>
      <c r="O6">
        <v>0.58799999999999997</v>
      </c>
      <c r="P6">
        <v>0.53899999999999992</v>
      </c>
      <c r="Q6"/>
      <c r="R6">
        <f t="shared" si="0"/>
        <v>0.69733333333333336</v>
      </c>
    </row>
    <row r="7" spans="1:18" x14ac:dyDescent="0.25">
      <c r="E7"/>
      <c r="F7" s="7"/>
      <c r="G7" s="8"/>
      <c r="J7" s="3">
        <v>50</v>
      </c>
      <c r="K7">
        <v>0.67199999999999993</v>
      </c>
      <c r="L7">
        <v>0.63500000000000001</v>
      </c>
      <c r="M7">
        <v>0.48800000000000004</v>
      </c>
      <c r="N7">
        <v>0.49200000000000005</v>
      </c>
      <c r="O7">
        <v>0.373</v>
      </c>
      <c r="P7">
        <v>0.33600000000000002</v>
      </c>
      <c r="Q7"/>
      <c r="R7">
        <f t="shared" si="0"/>
        <v>0.49933333333333335</v>
      </c>
    </row>
    <row r="8" spans="1:18" x14ac:dyDescent="0.25">
      <c r="E8"/>
      <c r="F8" s="53"/>
      <c r="G8" s="53"/>
      <c r="J8" s="9">
        <v>25</v>
      </c>
      <c r="K8">
        <v>0.60899999999999999</v>
      </c>
      <c r="L8">
        <v>0.59899999999999998</v>
      </c>
      <c r="M8">
        <v>0.34100000000000003</v>
      </c>
      <c r="N8">
        <v>0.34400000000000003</v>
      </c>
      <c r="O8">
        <v>0.26</v>
      </c>
      <c r="P8">
        <v>0.23200000000000004</v>
      </c>
      <c r="Q8"/>
      <c r="R8">
        <f t="shared" si="0"/>
        <v>0.39750000000000002</v>
      </c>
    </row>
    <row r="9" spans="1:18" x14ac:dyDescent="0.25">
      <c r="E9"/>
      <c r="J9" s="3">
        <v>12.5</v>
      </c>
      <c r="K9">
        <v>0.56199999999999994</v>
      </c>
      <c r="L9">
        <v>0.47600000000000003</v>
      </c>
      <c r="M9">
        <v>0.28000000000000003</v>
      </c>
      <c r="N9">
        <v>0.29400000000000004</v>
      </c>
      <c r="O9">
        <v>0.21700000000000003</v>
      </c>
      <c r="P9">
        <v>0.21800000000000003</v>
      </c>
      <c r="Q9"/>
      <c r="R9">
        <f t="shared" si="0"/>
        <v>0.34116666666666667</v>
      </c>
    </row>
    <row r="10" spans="1:18" x14ac:dyDescent="0.25">
      <c r="B10" s="2"/>
      <c r="D10"/>
      <c r="E10"/>
      <c r="J10" s="3" t="s">
        <v>4</v>
      </c>
      <c r="K10">
        <v>3.8000000000000006E-2</v>
      </c>
      <c r="L10">
        <v>5.0999999999999997E-2</v>
      </c>
      <c r="M10">
        <v>1.3999999999999992E-2</v>
      </c>
      <c r="N10">
        <v>4.3999999999999997E-2</v>
      </c>
      <c r="O10">
        <v>3.6000000000000004E-2</v>
      </c>
      <c r="P10">
        <v>3.3000000000000002E-2</v>
      </c>
      <c r="Q10"/>
      <c r="R10">
        <f t="shared" si="0"/>
        <v>3.5999999999999997E-2</v>
      </c>
    </row>
    <row r="11" spans="1:18" x14ac:dyDescent="0.25">
      <c r="D11"/>
      <c r="E11"/>
      <c r="F11"/>
      <c r="J11"/>
      <c r="K11"/>
      <c r="L11"/>
      <c r="M11"/>
      <c r="N11"/>
      <c r="O11"/>
      <c r="P11"/>
      <c r="Q11"/>
      <c r="R11"/>
    </row>
    <row r="12" spans="1:18" x14ac:dyDescent="0.25">
      <c r="D12" s="10"/>
      <c r="E12" s="10"/>
      <c r="F12" s="10"/>
      <c r="H12" s="3"/>
      <c r="J12"/>
    </row>
    <row r="13" spans="1:18" ht="45" x14ac:dyDescent="0.25">
      <c r="D13" s="54"/>
      <c r="E13" s="54"/>
      <c r="F13" s="2" t="s">
        <v>5</v>
      </c>
      <c r="G13" s="3" t="s">
        <v>6</v>
      </c>
      <c r="H13" s="11" t="s">
        <v>7</v>
      </c>
      <c r="J13"/>
    </row>
    <row r="14" spans="1:18" x14ac:dyDescent="0.25">
      <c r="D14" s="12"/>
      <c r="E14" s="12"/>
      <c r="F14" s="2">
        <v>0</v>
      </c>
      <c r="G14" s="1">
        <v>3.5999999999999997E-2</v>
      </c>
      <c r="H14" s="1">
        <v>0</v>
      </c>
      <c r="J14"/>
    </row>
    <row r="15" spans="1:18" x14ac:dyDescent="0.25">
      <c r="A15" s="10">
        <v>12.5</v>
      </c>
      <c r="B15" s="6">
        <v>0.3051666666666667</v>
      </c>
      <c r="D15" s="12"/>
      <c r="E15" s="12"/>
      <c r="F15" s="2">
        <v>800</v>
      </c>
      <c r="G15" s="1">
        <v>2.5074999999999998</v>
      </c>
      <c r="H15" s="1">
        <v>2.4714999999999998</v>
      </c>
      <c r="J15"/>
    </row>
    <row r="16" spans="1:18" x14ac:dyDescent="0.25">
      <c r="A16" s="13">
        <v>25</v>
      </c>
      <c r="B16" s="6">
        <v>0.36150000000000004</v>
      </c>
      <c r="D16" s="12"/>
      <c r="E16" s="12"/>
      <c r="F16" s="2">
        <v>400</v>
      </c>
      <c r="G16" s="1">
        <v>1.7146666666666668</v>
      </c>
      <c r="H16" s="1">
        <v>1.6786666666666668</v>
      </c>
      <c r="J16"/>
    </row>
    <row r="17" spans="1:16" x14ac:dyDescent="0.25">
      <c r="A17" s="10">
        <v>50</v>
      </c>
      <c r="B17" s="6">
        <v>0.46333333333333337</v>
      </c>
      <c r="D17" s="12"/>
      <c r="E17" s="12"/>
      <c r="F17" s="2">
        <v>200</v>
      </c>
      <c r="G17" s="1">
        <v>1.0951666666666666</v>
      </c>
      <c r="H17" s="1">
        <v>1.0591666666666666</v>
      </c>
      <c r="J17"/>
    </row>
    <row r="18" spans="1:16" x14ac:dyDescent="0.25">
      <c r="A18" s="10">
        <v>100</v>
      </c>
      <c r="B18" s="6">
        <v>0.66133333333333333</v>
      </c>
      <c r="D18" s="12"/>
      <c r="E18" s="12"/>
      <c r="F18" s="2">
        <v>100</v>
      </c>
      <c r="G18" s="1">
        <v>0.69733333333333336</v>
      </c>
      <c r="H18" s="1">
        <v>0.66133333333333333</v>
      </c>
      <c r="J18"/>
    </row>
    <row r="19" spans="1:16" x14ac:dyDescent="0.25">
      <c r="A19" s="10">
        <v>200</v>
      </c>
      <c r="B19" s="6">
        <v>1.0591666666666666</v>
      </c>
      <c r="D19" s="12"/>
      <c r="E19" s="12"/>
      <c r="F19" s="2">
        <v>50</v>
      </c>
      <c r="G19" s="1">
        <v>0.49933333333333335</v>
      </c>
      <c r="H19" s="1">
        <v>0.46333333333333337</v>
      </c>
      <c r="J19"/>
    </row>
    <row r="20" spans="1:16" x14ac:dyDescent="0.25">
      <c r="A20" s="10"/>
      <c r="D20" s="12"/>
      <c r="E20" s="12"/>
      <c r="F20" s="2">
        <v>25</v>
      </c>
      <c r="G20" s="1">
        <v>0.39750000000000002</v>
      </c>
      <c r="H20" s="1">
        <v>0.36150000000000004</v>
      </c>
      <c r="J20"/>
    </row>
    <row r="21" spans="1:16" x14ac:dyDescent="0.25">
      <c r="A21" s="10"/>
      <c r="D21" s="12"/>
      <c r="E21" s="12"/>
      <c r="F21" s="2">
        <v>12.5</v>
      </c>
      <c r="G21" s="1">
        <v>0.34116666666666667</v>
      </c>
      <c r="H21" s="1">
        <v>0.3051666666666667</v>
      </c>
      <c r="J21"/>
    </row>
    <row r="22" spans="1:16" x14ac:dyDescent="0.25">
      <c r="A22" s="10"/>
      <c r="B22" s="14"/>
      <c r="C22" s="2"/>
      <c r="F22" s="6"/>
      <c r="G22" s="1"/>
      <c r="H22" s="15"/>
      <c r="I22" s="16"/>
      <c r="J22"/>
    </row>
    <row r="23" spans="1:16" s="17" customFormat="1" ht="21" x14ac:dyDescent="0.35">
      <c r="A23" s="50" t="s">
        <v>8</v>
      </c>
      <c r="B23" s="50"/>
      <c r="C23" s="50"/>
      <c r="D23" s="50"/>
      <c r="E23" s="50"/>
      <c r="F23" s="50"/>
      <c r="G23" s="50"/>
      <c r="H23" s="50"/>
      <c r="I23" s="50"/>
      <c r="J23" s="13"/>
    </row>
    <row r="24" spans="1:16" ht="48.75" x14ac:dyDescent="0.3">
      <c r="A24" s="49" t="s">
        <v>9</v>
      </c>
      <c r="B24" s="49" t="s">
        <v>10</v>
      </c>
      <c r="C24" s="52" t="s">
        <v>11</v>
      </c>
      <c r="D24" s="52"/>
      <c r="F24" s="18" t="s">
        <v>12</v>
      </c>
      <c r="G24" s="19" t="s">
        <v>13</v>
      </c>
      <c r="H24" s="20" t="s">
        <v>14</v>
      </c>
      <c r="I24" s="5" t="s">
        <v>15</v>
      </c>
      <c r="J24" s="21"/>
      <c r="K24" s="4" t="s">
        <v>158</v>
      </c>
    </row>
    <row r="25" spans="1:16" x14ac:dyDescent="0.25">
      <c r="A25" s="6">
        <v>1</v>
      </c>
      <c r="B25" t="s">
        <v>16</v>
      </c>
      <c r="C25" s="12">
        <v>0.11</v>
      </c>
      <c r="D25" s="12">
        <v>0.17699999999999999</v>
      </c>
      <c r="F25" s="22">
        <f>AVERAGE(C25:D25)</f>
        <v>0.14349999999999999</v>
      </c>
      <c r="G25" s="23">
        <f>F25-$G$14</f>
        <v>0.10749999999999998</v>
      </c>
      <c r="H25" s="15">
        <f>(G25-0.0278)/0.1808</f>
        <v>0.44081858407079644</v>
      </c>
      <c r="I25" s="24">
        <f>(H25*2)</f>
        <v>0.88163716814159288</v>
      </c>
      <c r="J25" s="21"/>
      <c r="K25" s="21"/>
      <c r="L25" s="21"/>
      <c r="M25" s="21"/>
      <c r="N25" s="21"/>
      <c r="O25" s="21"/>
      <c r="P25" s="21"/>
    </row>
    <row r="26" spans="1:16" s="25" customFormat="1" x14ac:dyDescent="0.25">
      <c r="A26" s="6">
        <v>2</v>
      </c>
      <c r="B26" t="s">
        <v>17</v>
      </c>
      <c r="C26" s="12">
        <v>0.22100000000000003</v>
      </c>
      <c r="D26" s="12">
        <v>0.23899999999999999</v>
      </c>
      <c r="E26" s="1"/>
      <c r="F26" s="22">
        <f t="shared" ref="F26:F64" si="1">AVERAGE(C26:D26)</f>
        <v>0.23</v>
      </c>
      <c r="G26" s="23">
        <f t="shared" ref="G26:G64" si="2">F26-$G$14</f>
        <v>0.19400000000000001</v>
      </c>
      <c r="H26" s="15">
        <f t="shared" ref="H26:H64" si="3">(G26-0.0278)/0.1808</f>
        <v>0.91924778761061965</v>
      </c>
      <c r="I26" s="24">
        <f t="shared" ref="I26:I64" si="4">(H26*2)</f>
        <v>1.8384955752212393</v>
      </c>
      <c r="J26" s="21"/>
      <c r="K26" s="21"/>
      <c r="L26" s="21"/>
      <c r="M26" s="21"/>
      <c r="N26" s="21"/>
      <c r="O26" s="21"/>
      <c r="P26" s="21"/>
    </row>
    <row r="27" spans="1:16" x14ac:dyDescent="0.25">
      <c r="A27" s="6">
        <v>3</v>
      </c>
      <c r="B27" t="s">
        <v>18</v>
      </c>
      <c r="C27" s="12">
        <v>0.2</v>
      </c>
      <c r="D27" s="12">
        <v>0.22900000000000004</v>
      </c>
      <c r="F27" s="22">
        <f t="shared" si="1"/>
        <v>0.21450000000000002</v>
      </c>
      <c r="G27" s="23">
        <f t="shared" si="2"/>
        <v>0.17850000000000002</v>
      </c>
      <c r="H27" s="15">
        <f t="shared" si="3"/>
        <v>0.83351769911504447</v>
      </c>
      <c r="I27" s="24">
        <f t="shared" si="4"/>
        <v>1.6670353982300889</v>
      </c>
      <c r="J27" s="21"/>
      <c r="K27" s="21"/>
      <c r="L27" s="21"/>
      <c r="M27" s="21"/>
      <c r="N27" s="21"/>
      <c r="O27" s="21"/>
      <c r="P27" s="21"/>
    </row>
    <row r="28" spans="1:16" x14ac:dyDescent="0.25">
      <c r="A28" s="6">
        <v>4</v>
      </c>
      <c r="B28" t="s">
        <v>19</v>
      </c>
      <c r="C28" s="12">
        <v>0.21300000000000002</v>
      </c>
      <c r="D28" s="12">
        <v>0.23500000000000004</v>
      </c>
      <c r="F28" s="22">
        <f t="shared" si="1"/>
        <v>0.22400000000000003</v>
      </c>
      <c r="G28" s="23">
        <f t="shared" si="2"/>
        <v>0.18800000000000003</v>
      </c>
      <c r="H28" s="15">
        <f t="shared" si="3"/>
        <v>0.88606194690265516</v>
      </c>
      <c r="I28" s="24">
        <f t="shared" si="4"/>
        <v>1.7721238938053103</v>
      </c>
      <c r="J28" s="21"/>
      <c r="K28" s="21"/>
      <c r="L28" s="21"/>
      <c r="M28" s="21"/>
      <c r="N28" s="21"/>
      <c r="O28" s="21"/>
      <c r="P28" s="21"/>
    </row>
    <row r="29" spans="1:16" x14ac:dyDescent="0.25">
      <c r="A29" s="6">
        <v>5</v>
      </c>
      <c r="B29" t="s">
        <v>20</v>
      </c>
      <c r="C29" s="12">
        <v>0.25900000000000001</v>
      </c>
      <c r="D29" s="12">
        <v>0.28000000000000003</v>
      </c>
      <c r="F29" s="22">
        <f t="shared" si="1"/>
        <v>0.26950000000000002</v>
      </c>
      <c r="G29" s="23">
        <f t="shared" si="2"/>
        <v>0.23350000000000001</v>
      </c>
      <c r="H29" s="15">
        <f t="shared" si="3"/>
        <v>1.1377212389380533</v>
      </c>
      <c r="I29" s="24">
        <f t="shared" si="4"/>
        <v>2.2754424778761067</v>
      </c>
      <c r="J29" s="21"/>
    </row>
    <row r="30" spans="1:16" x14ac:dyDescent="0.25">
      <c r="A30" s="6">
        <v>6</v>
      </c>
      <c r="B30" t="s">
        <v>21</v>
      </c>
      <c r="C30" s="12">
        <v>0.24199999999999999</v>
      </c>
      <c r="D30" s="12">
        <v>0.28000000000000003</v>
      </c>
      <c r="F30" s="22">
        <f t="shared" si="1"/>
        <v>0.26100000000000001</v>
      </c>
      <c r="G30" s="23">
        <f t="shared" si="2"/>
        <v>0.22500000000000001</v>
      </c>
      <c r="H30" s="15">
        <f t="shared" si="3"/>
        <v>1.0907079646017701</v>
      </c>
      <c r="I30" s="24">
        <f t="shared" si="4"/>
        <v>2.1814159292035402</v>
      </c>
      <c r="J30" s="21"/>
    </row>
    <row r="31" spans="1:16" x14ac:dyDescent="0.25">
      <c r="A31" s="6">
        <v>7</v>
      </c>
      <c r="B31" t="s">
        <v>22</v>
      </c>
      <c r="C31" s="12">
        <v>0.23700000000000004</v>
      </c>
      <c r="D31" s="12">
        <v>0.254</v>
      </c>
      <c r="F31" s="22">
        <f t="shared" si="1"/>
        <v>0.24550000000000002</v>
      </c>
      <c r="G31" s="23">
        <f t="shared" si="2"/>
        <v>0.20950000000000002</v>
      </c>
      <c r="H31" s="15">
        <f t="shared" si="3"/>
        <v>1.0049778761061949</v>
      </c>
      <c r="I31" s="24">
        <f t="shared" si="4"/>
        <v>2.0099557522123899</v>
      </c>
      <c r="J31" s="21"/>
    </row>
    <row r="32" spans="1:16" x14ac:dyDescent="0.25">
      <c r="A32" s="6">
        <v>8</v>
      </c>
      <c r="B32" t="s">
        <v>23</v>
      </c>
      <c r="C32" s="12">
        <v>0.22500000000000003</v>
      </c>
      <c r="D32" s="12">
        <v>0.245</v>
      </c>
      <c r="F32" s="22">
        <f t="shared" si="1"/>
        <v>0.23500000000000001</v>
      </c>
      <c r="G32" s="23">
        <f t="shared" si="2"/>
        <v>0.19900000000000001</v>
      </c>
      <c r="H32" s="15">
        <f t="shared" si="3"/>
        <v>0.94690265486725678</v>
      </c>
      <c r="I32" s="24">
        <f t="shared" si="4"/>
        <v>1.8938053097345136</v>
      </c>
      <c r="J32" s="21"/>
    </row>
    <row r="33" spans="1:10" x14ac:dyDescent="0.25">
      <c r="A33" s="6">
        <v>9</v>
      </c>
      <c r="B33" t="s">
        <v>24</v>
      </c>
      <c r="C33" s="12">
        <v>0.186</v>
      </c>
      <c r="D33" s="12">
        <v>0.14000000000000001</v>
      </c>
      <c r="F33" s="22">
        <f t="shared" si="1"/>
        <v>0.16300000000000001</v>
      </c>
      <c r="G33" s="23">
        <f t="shared" si="2"/>
        <v>0.127</v>
      </c>
      <c r="H33" s="15">
        <f t="shared" si="3"/>
        <v>0.54867256637168149</v>
      </c>
      <c r="I33" s="24">
        <f t="shared" si="4"/>
        <v>1.097345132743363</v>
      </c>
      <c r="J33" s="21"/>
    </row>
    <row r="34" spans="1:10" x14ac:dyDescent="0.25">
      <c r="A34" s="6">
        <v>10</v>
      </c>
      <c r="B34" t="s">
        <v>25</v>
      </c>
      <c r="C34" s="12">
        <v>0.188</v>
      </c>
      <c r="D34" s="12">
        <v>0.21000000000000002</v>
      </c>
      <c r="F34" s="22">
        <f t="shared" si="1"/>
        <v>0.19900000000000001</v>
      </c>
      <c r="G34" s="23">
        <f t="shared" si="2"/>
        <v>0.16300000000000001</v>
      </c>
      <c r="H34" s="15">
        <f t="shared" si="3"/>
        <v>0.74778761061946919</v>
      </c>
      <c r="I34" s="24">
        <f t="shared" si="4"/>
        <v>1.4955752212389384</v>
      </c>
      <c r="J34" s="21"/>
    </row>
    <row r="35" spans="1:10" x14ac:dyDescent="0.25">
      <c r="A35" s="6">
        <v>11</v>
      </c>
      <c r="B35" t="s">
        <v>26</v>
      </c>
      <c r="C35" s="12">
        <v>0.185</v>
      </c>
      <c r="D35" s="12">
        <v>0.17899999999999999</v>
      </c>
      <c r="F35" s="22">
        <f t="shared" si="1"/>
        <v>0.182</v>
      </c>
      <c r="G35" s="23">
        <f t="shared" si="2"/>
        <v>0.14599999999999999</v>
      </c>
      <c r="H35" s="15">
        <f t="shared" si="3"/>
        <v>0.65376106194690264</v>
      </c>
      <c r="I35" s="24">
        <f t="shared" si="4"/>
        <v>1.3075221238938053</v>
      </c>
      <c r="J35" s="21"/>
    </row>
    <row r="36" spans="1:10" x14ac:dyDescent="0.25">
      <c r="A36" s="6">
        <v>12</v>
      </c>
      <c r="B36" t="s">
        <v>27</v>
      </c>
      <c r="C36" s="12">
        <v>0.189</v>
      </c>
      <c r="D36" s="12">
        <v>0.188</v>
      </c>
      <c r="F36" s="22">
        <f t="shared" si="1"/>
        <v>0.1885</v>
      </c>
      <c r="G36" s="23">
        <f t="shared" si="2"/>
        <v>0.1525</v>
      </c>
      <c r="H36" s="15">
        <f t="shared" si="3"/>
        <v>0.68971238938053103</v>
      </c>
      <c r="I36" s="24">
        <f t="shared" si="4"/>
        <v>1.3794247787610621</v>
      </c>
      <c r="J36" s="21"/>
    </row>
    <row r="37" spans="1:10" x14ac:dyDescent="0.25">
      <c r="A37" s="6">
        <v>13</v>
      </c>
      <c r="B37" t="s">
        <v>28</v>
      </c>
      <c r="C37" s="12">
        <v>0.20200000000000001</v>
      </c>
      <c r="D37" s="12">
        <v>0.193</v>
      </c>
      <c r="F37" s="22">
        <f t="shared" si="1"/>
        <v>0.19750000000000001</v>
      </c>
      <c r="G37" s="23">
        <f t="shared" si="2"/>
        <v>0.1615</v>
      </c>
      <c r="H37" s="15">
        <f t="shared" si="3"/>
        <v>0.73949115044247804</v>
      </c>
      <c r="I37" s="24">
        <f t="shared" si="4"/>
        <v>1.4789823008849561</v>
      </c>
      <c r="J37" s="21"/>
    </row>
    <row r="38" spans="1:10" x14ac:dyDescent="0.25">
      <c r="A38" s="6">
        <v>14</v>
      </c>
      <c r="B38" t="s">
        <v>29</v>
      </c>
      <c r="C38" s="12">
        <v>0.20500000000000002</v>
      </c>
      <c r="D38" s="12">
        <v>0.21000000000000002</v>
      </c>
      <c r="F38" s="22">
        <f t="shared" si="1"/>
        <v>0.20750000000000002</v>
      </c>
      <c r="G38" s="23">
        <f t="shared" si="2"/>
        <v>0.17150000000000001</v>
      </c>
      <c r="H38" s="15">
        <f t="shared" si="3"/>
        <v>0.79480088495575241</v>
      </c>
      <c r="I38" s="24">
        <f t="shared" si="4"/>
        <v>1.5896017699115048</v>
      </c>
      <c r="J38" s="21"/>
    </row>
    <row r="39" spans="1:10" x14ac:dyDescent="0.25">
      <c r="A39" s="6">
        <v>15</v>
      </c>
      <c r="B39" t="s">
        <v>30</v>
      </c>
      <c r="C39" s="12">
        <v>0.19900000000000001</v>
      </c>
      <c r="D39" s="12">
        <v>0.17699999999999999</v>
      </c>
      <c r="F39" s="22">
        <f t="shared" si="1"/>
        <v>0.188</v>
      </c>
      <c r="G39" s="23">
        <f t="shared" si="2"/>
        <v>0.152</v>
      </c>
      <c r="H39" s="15">
        <f t="shared" si="3"/>
        <v>0.68694690265486735</v>
      </c>
      <c r="I39" s="24">
        <f t="shared" si="4"/>
        <v>1.3738938053097347</v>
      </c>
    </row>
    <row r="40" spans="1:10" x14ac:dyDescent="0.25">
      <c r="A40" s="6">
        <v>16</v>
      </c>
      <c r="B40" t="s">
        <v>31</v>
      </c>
      <c r="C40" s="12">
        <v>0.23400000000000001</v>
      </c>
      <c r="D40" s="12">
        <v>0.26700000000000002</v>
      </c>
      <c r="F40" s="22">
        <f t="shared" si="1"/>
        <v>0.2505</v>
      </c>
      <c r="G40" s="23">
        <f t="shared" si="2"/>
        <v>0.2145</v>
      </c>
      <c r="H40" s="15">
        <f t="shared" si="3"/>
        <v>1.032632743362832</v>
      </c>
      <c r="I40" s="24">
        <f t="shared" si="4"/>
        <v>2.0652654867256639</v>
      </c>
    </row>
    <row r="41" spans="1:10" x14ac:dyDescent="0.25">
      <c r="A41" s="6">
        <v>17</v>
      </c>
      <c r="B41" t="s">
        <v>32</v>
      </c>
      <c r="C41" s="12">
        <v>0.17599999999999999</v>
      </c>
      <c r="D41" s="12">
        <v>0.16599999999999998</v>
      </c>
      <c r="F41" s="22">
        <f t="shared" si="1"/>
        <v>0.17099999999999999</v>
      </c>
      <c r="G41" s="23">
        <f t="shared" si="2"/>
        <v>0.13499999999999998</v>
      </c>
      <c r="H41" s="15">
        <f t="shared" si="3"/>
        <v>0.59292035398230092</v>
      </c>
      <c r="I41" s="24">
        <f t="shared" si="4"/>
        <v>1.1858407079646018</v>
      </c>
    </row>
    <row r="42" spans="1:10" x14ac:dyDescent="0.25">
      <c r="A42" s="6">
        <v>18</v>
      </c>
      <c r="B42" t="s">
        <v>33</v>
      </c>
      <c r="C42" s="12">
        <v>0.14000000000000001</v>
      </c>
      <c r="D42" s="12">
        <v>0.20900000000000002</v>
      </c>
      <c r="F42" s="22">
        <f t="shared" si="1"/>
        <v>0.17450000000000002</v>
      </c>
      <c r="G42" s="23">
        <f t="shared" si="2"/>
        <v>0.13850000000000001</v>
      </c>
      <c r="H42" s="15">
        <f t="shared" si="3"/>
        <v>0.61227876106194701</v>
      </c>
      <c r="I42" s="24">
        <f t="shared" si="4"/>
        <v>1.224557522123894</v>
      </c>
    </row>
    <row r="43" spans="1:10" x14ac:dyDescent="0.25">
      <c r="A43" s="6">
        <v>19</v>
      </c>
      <c r="B43" t="s">
        <v>34</v>
      </c>
      <c r="C43" s="12">
        <v>0.188</v>
      </c>
      <c r="D43" s="12">
        <v>0.20500000000000002</v>
      </c>
      <c r="F43" s="22">
        <f t="shared" si="1"/>
        <v>0.19650000000000001</v>
      </c>
      <c r="G43" s="23">
        <f t="shared" si="2"/>
        <v>0.1605</v>
      </c>
      <c r="H43" s="15">
        <f t="shared" si="3"/>
        <v>0.73396017699115057</v>
      </c>
      <c r="I43" s="24">
        <f t="shared" si="4"/>
        <v>1.4679203539823011</v>
      </c>
    </row>
    <row r="44" spans="1:10" x14ac:dyDescent="0.25">
      <c r="A44" s="6">
        <v>20</v>
      </c>
      <c r="B44" t="s">
        <v>35</v>
      </c>
      <c r="C44" s="12">
        <v>0.21800000000000003</v>
      </c>
      <c r="D44" s="12">
        <v>0.24</v>
      </c>
      <c r="F44" s="22">
        <f t="shared" si="1"/>
        <v>0.22900000000000001</v>
      </c>
      <c r="G44" s="23">
        <f t="shared" si="2"/>
        <v>0.193</v>
      </c>
      <c r="H44" s="15">
        <f t="shared" si="3"/>
        <v>0.91371681415929218</v>
      </c>
      <c r="I44" s="24">
        <f t="shared" si="4"/>
        <v>1.8274336283185844</v>
      </c>
    </row>
    <row r="45" spans="1:10" x14ac:dyDescent="0.25">
      <c r="A45" s="6">
        <v>21</v>
      </c>
      <c r="B45" t="s">
        <v>36</v>
      </c>
      <c r="C45" s="12">
        <v>0.20900000000000002</v>
      </c>
      <c r="D45" s="12">
        <v>0.19800000000000001</v>
      </c>
      <c r="F45" s="22">
        <f t="shared" si="1"/>
        <v>0.20350000000000001</v>
      </c>
      <c r="G45" s="23">
        <f t="shared" si="2"/>
        <v>0.16750000000000001</v>
      </c>
      <c r="H45" s="15">
        <f t="shared" si="3"/>
        <v>0.77267699115044264</v>
      </c>
      <c r="I45" s="24">
        <f t="shared" si="4"/>
        <v>1.5453539823008853</v>
      </c>
    </row>
    <row r="46" spans="1:10" x14ac:dyDescent="0.25">
      <c r="A46" s="6">
        <v>22</v>
      </c>
      <c r="B46" t="s">
        <v>37</v>
      </c>
      <c r="C46" s="12">
        <v>0.2</v>
      </c>
      <c r="D46" s="12">
        <v>0.2</v>
      </c>
      <c r="F46" s="22">
        <f t="shared" si="1"/>
        <v>0.2</v>
      </c>
      <c r="G46" s="23">
        <f t="shared" si="2"/>
        <v>0.16400000000000001</v>
      </c>
      <c r="H46" s="15">
        <f t="shared" si="3"/>
        <v>0.75331858407079655</v>
      </c>
      <c r="I46" s="24">
        <f t="shared" si="4"/>
        <v>1.5066371681415931</v>
      </c>
    </row>
    <row r="47" spans="1:10" x14ac:dyDescent="0.25">
      <c r="A47" s="6">
        <v>23</v>
      </c>
      <c r="B47" t="s">
        <v>38</v>
      </c>
      <c r="C47" s="12">
        <v>0.15600000000000003</v>
      </c>
      <c r="D47" s="12">
        <v>0.19600000000000001</v>
      </c>
      <c r="F47" s="22">
        <f t="shared" si="1"/>
        <v>0.17600000000000002</v>
      </c>
      <c r="G47" s="23">
        <f t="shared" si="2"/>
        <v>0.14000000000000001</v>
      </c>
      <c r="H47" s="15">
        <f t="shared" si="3"/>
        <v>0.62057522123893827</v>
      </c>
      <c r="I47" s="24">
        <f t="shared" si="4"/>
        <v>1.2411504424778765</v>
      </c>
    </row>
    <row r="48" spans="1:10" x14ac:dyDescent="0.25">
      <c r="A48" s="6">
        <v>24</v>
      </c>
      <c r="B48" t="s">
        <v>39</v>
      </c>
      <c r="C48" s="12">
        <v>0.17199999999999999</v>
      </c>
      <c r="D48" s="12">
        <v>0.186</v>
      </c>
      <c r="F48" s="22">
        <f t="shared" si="1"/>
        <v>0.17899999999999999</v>
      </c>
      <c r="G48" s="23">
        <f t="shared" si="2"/>
        <v>0.14299999999999999</v>
      </c>
      <c r="H48" s="15">
        <f t="shared" si="3"/>
        <v>0.63716814159292035</v>
      </c>
      <c r="I48" s="24">
        <f t="shared" si="4"/>
        <v>1.2743362831858407</v>
      </c>
    </row>
    <row r="49" spans="1:9" x14ac:dyDescent="0.25">
      <c r="A49" s="6">
        <v>25</v>
      </c>
      <c r="B49" t="s">
        <v>40</v>
      </c>
      <c r="C49" s="12">
        <v>0.48400000000000004</v>
      </c>
      <c r="D49" s="12">
        <v>0.52699999999999991</v>
      </c>
      <c r="F49" s="22">
        <f t="shared" si="1"/>
        <v>0.50549999999999995</v>
      </c>
      <c r="G49" s="23">
        <f t="shared" si="2"/>
        <v>0.46949999999999997</v>
      </c>
      <c r="H49" s="15">
        <f t="shared" si="3"/>
        <v>2.4430309734513274</v>
      </c>
      <c r="I49" s="24">
        <f t="shared" si="4"/>
        <v>4.8860619469026547</v>
      </c>
    </row>
    <row r="50" spans="1:9" x14ac:dyDescent="0.25">
      <c r="A50" s="6">
        <v>26</v>
      </c>
      <c r="B50" t="s">
        <v>41</v>
      </c>
      <c r="C50" s="12">
        <v>0.55499999999999994</v>
      </c>
      <c r="D50" s="12">
        <v>0.55399999999999994</v>
      </c>
      <c r="F50" s="22">
        <f t="shared" si="1"/>
        <v>0.55449999999999999</v>
      </c>
      <c r="G50" s="23">
        <f t="shared" si="2"/>
        <v>0.51849999999999996</v>
      </c>
      <c r="H50" s="15">
        <f t="shared" si="3"/>
        <v>2.7140486725663715</v>
      </c>
      <c r="I50" s="24">
        <f t="shared" si="4"/>
        <v>5.428097345132743</v>
      </c>
    </row>
    <row r="51" spans="1:9" x14ac:dyDescent="0.25">
      <c r="A51" s="6">
        <v>27</v>
      </c>
      <c r="B51" t="s">
        <v>42</v>
      </c>
      <c r="C51" s="12">
        <v>0.53099999999999992</v>
      </c>
      <c r="D51" s="12">
        <v>0.48600000000000004</v>
      </c>
      <c r="F51" s="22">
        <f t="shared" si="1"/>
        <v>0.50849999999999995</v>
      </c>
      <c r="G51" s="23">
        <f t="shared" si="2"/>
        <v>0.47249999999999998</v>
      </c>
      <c r="H51" s="15">
        <f t="shared" si="3"/>
        <v>2.4596238938053099</v>
      </c>
      <c r="I51" s="24">
        <f t="shared" si="4"/>
        <v>4.9192477876106198</v>
      </c>
    </row>
    <row r="52" spans="1:9" x14ac:dyDescent="0.25">
      <c r="A52" s="6">
        <v>28</v>
      </c>
      <c r="B52" t="s">
        <v>43</v>
      </c>
      <c r="C52" s="12">
        <v>0.49800000000000005</v>
      </c>
      <c r="D52" s="12">
        <v>0.48200000000000004</v>
      </c>
      <c r="F52" s="22">
        <f t="shared" si="1"/>
        <v>0.49000000000000005</v>
      </c>
      <c r="G52" s="23">
        <f t="shared" si="2"/>
        <v>0.45400000000000007</v>
      </c>
      <c r="H52" s="15">
        <f t="shared" si="3"/>
        <v>2.3573008849557526</v>
      </c>
      <c r="I52" s="24">
        <f t="shared" si="4"/>
        <v>4.7146017699115053</v>
      </c>
    </row>
    <row r="53" spans="1:9" x14ac:dyDescent="0.25">
      <c r="A53" s="6">
        <v>29</v>
      </c>
      <c r="B53" t="s">
        <v>44</v>
      </c>
      <c r="C53" s="12">
        <v>0.16499999999999998</v>
      </c>
      <c r="D53" s="12">
        <v>0.15500000000000003</v>
      </c>
      <c r="F53" s="22">
        <f t="shared" si="1"/>
        <v>0.16</v>
      </c>
      <c r="G53" s="23">
        <f t="shared" si="2"/>
        <v>0.124</v>
      </c>
      <c r="H53" s="15">
        <f t="shared" si="3"/>
        <v>0.53207964601769919</v>
      </c>
      <c r="I53" s="24">
        <f t="shared" si="4"/>
        <v>1.0641592920353984</v>
      </c>
    </row>
    <row r="54" spans="1:9" x14ac:dyDescent="0.25">
      <c r="A54" s="6">
        <v>30</v>
      </c>
      <c r="B54" t="s">
        <v>45</v>
      </c>
      <c r="C54" s="12">
        <v>0.16199999999999998</v>
      </c>
      <c r="D54" s="12">
        <v>0.156</v>
      </c>
      <c r="F54" s="22">
        <f t="shared" si="1"/>
        <v>0.15899999999999997</v>
      </c>
      <c r="G54" s="23">
        <f t="shared" si="2"/>
        <v>0.12299999999999997</v>
      </c>
      <c r="H54" s="15">
        <f t="shared" si="3"/>
        <v>0.52654867256637161</v>
      </c>
      <c r="I54" s="24">
        <f t="shared" si="4"/>
        <v>1.0530973451327432</v>
      </c>
    </row>
    <row r="55" spans="1:9" x14ac:dyDescent="0.25">
      <c r="A55" s="6">
        <v>31</v>
      </c>
      <c r="B55" t="s">
        <v>46</v>
      </c>
      <c r="C55" s="12">
        <v>0.13600000000000001</v>
      </c>
      <c r="D55" s="12">
        <v>0.15100000000000002</v>
      </c>
      <c r="F55" s="22">
        <f t="shared" si="1"/>
        <v>0.14350000000000002</v>
      </c>
      <c r="G55" s="23">
        <f t="shared" si="2"/>
        <v>0.10750000000000001</v>
      </c>
      <c r="H55" s="15">
        <f t="shared" si="3"/>
        <v>0.4408185840707966</v>
      </c>
      <c r="I55" s="24">
        <f t="shared" si="4"/>
        <v>0.88163716814159321</v>
      </c>
    </row>
    <row r="56" spans="1:9" x14ac:dyDescent="0.25">
      <c r="A56" s="6">
        <v>32</v>
      </c>
      <c r="B56" t="s">
        <v>47</v>
      </c>
      <c r="C56" s="12">
        <v>0.15500000000000003</v>
      </c>
      <c r="D56" s="12">
        <v>0.151</v>
      </c>
      <c r="F56" s="22">
        <f t="shared" si="1"/>
        <v>0.15300000000000002</v>
      </c>
      <c r="G56" s="23">
        <f t="shared" si="2"/>
        <v>0.11700000000000002</v>
      </c>
      <c r="H56" s="15">
        <f t="shared" si="3"/>
        <v>0.49336283185840729</v>
      </c>
      <c r="I56" s="24">
        <f t="shared" si="4"/>
        <v>0.98672566371681458</v>
      </c>
    </row>
    <row r="57" spans="1:9" x14ac:dyDescent="0.25">
      <c r="A57" s="6">
        <v>33</v>
      </c>
      <c r="B57" t="s">
        <v>48</v>
      </c>
      <c r="C57" s="12">
        <v>0.115</v>
      </c>
      <c r="D57" s="12">
        <v>0.12300000000000001</v>
      </c>
      <c r="F57" s="22">
        <f t="shared" si="1"/>
        <v>0.11900000000000001</v>
      </c>
      <c r="G57" s="23">
        <f t="shared" si="2"/>
        <v>8.3000000000000018E-2</v>
      </c>
      <c r="H57" s="15">
        <f t="shared" si="3"/>
        <v>0.30530973451327448</v>
      </c>
      <c r="I57" s="24">
        <f t="shared" si="4"/>
        <v>0.61061946902654896</v>
      </c>
    </row>
    <row r="58" spans="1:9" x14ac:dyDescent="0.25">
      <c r="A58" s="6">
        <v>34</v>
      </c>
      <c r="B58" t="s">
        <v>49</v>
      </c>
      <c r="C58" s="12">
        <v>8.7000000000000008E-2</v>
      </c>
      <c r="D58" s="12">
        <v>0.15000000000000002</v>
      </c>
      <c r="F58" s="22">
        <f t="shared" si="1"/>
        <v>0.11850000000000002</v>
      </c>
      <c r="G58" s="23">
        <f t="shared" si="2"/>
        <v>8.2500000000000018E-2</v>
      </c>
      <c r="H58" s="15">
        <f t="shared" si="3"/>
        <v>0.30254424778761074</v>
      </c>
      <c r="I58" s="24">
        <f t="shared" si="4"/>
        <v>0.60508849557522149</v>
      </c>
    </row>
    <row r="59" spans="1:9" x14ac:dyDescent="0.25">
      <c r="A59" s="6">
        <v>35</v>
      </c>
      <c r="B59" t="s">
        <v>50</v>
      </c>
      <c r="C59" s="12">
        <v>0.14399999999999999</v>
      </c>
      <c r="D59" s="12">
        <v>0.15000000000000002</v>
      </c>
      <c r="F59" s="22">
        <f t="shared" si="1"/>
        <v>0.14700000000000002</v>
      </c>
      <c r="G59" s="23">
        <f t="shared" si="2"/>
        <v>0.11100000000000002</v>
      </c>
      <c r="H59" s="15">
        <f t="shared" si="3"/>
        <v>0.46017699115044264</v>
      </c>
      <c r="I59" s="24">
        <f t="shared" si="4"/>
        <v>0.92035398230088528</v>
      </c>
    </row>
    <row r="60" spans="1:9" x14ac:dyDescent="0.25">
      <c r="A60" s="6">
        <v>36</v>
      </c>
      <c r="B60" t="s">
        <v>51</v>
      </c>
      <c r="C60" s="12">
        <v>0.16499999999999998</v>
      </c>
      <c r="D60" s="12">
        <v>0.15</v>
      </c>
      <c r="F60" s="22">
        <f t="shared" si="1"/>
        <v>0.15749999999999997</v>
      </c>
      <c r="G60" s="23">
        <f t="shared" si="2"/>
        <v>0.12149999999999997</v>
      </c>
      <c r="H60" s="15">
        <f t="shared" si="3"/>
        <v>0.51825221238938046</v>
      </c>
      <c r="I60" s="24">
        <f t="shared" si="4"/>
        <v>1.0365044247787609</v>
      </c>
    </row>
    <row r="61" spans="1:9" x14ac:dyDescent="0.25">
      <c r="A61" s="6">
        <v>37</v>
      </c>
      <c r="B61" t="s">
        <v>52</v>
      </c>
      <c r="C61" s="12">
        <v>0.183</v>
      </c>
      <c r="D61" s="12">
        <v>0.19500000000000001</v>
      </c>
      <c r="F61" s="22">
        <f t="shared" si="1"/>
        <v>0.189</v>
      </c>
      <c r="G61" s="23">
        <f t="shared" si="2"/>
        <v>0.153</v>
      </c>
      <c r="H61" s="15">
        <f t="shared" si="3"/>
        <v>0.69247787610619471</v>
      </c>
      <c r="I61" s="24">
        <f t="shared" si="4"/>
        <v>1.3849557522123894</v>
      </c>
    </row>
    <row r="62" spans="1:9" x14ac:dyDescent="0.25">
      <c r="A62" s="6">
        <v>38</v>
      </c>
      <c r="B62" t="s">
        <v>53</v>
      </c>
      <c r="C62" s="12">
        <v>0.185</v>
      </c>
      <c r="D62" s="12">
        <v>0.185</v>
      </c>
      <c r="F62" s="22">
        <f t="shared" si="1"/>
        <v>0.185</v>
      </c>
      <c r="G62" s="23">
        <f t="shared" si="2"/>
        <v>0.14899999999999999</v>
      </c>
      <c r="H62" s="15">
        <f t="shared" si="3"/>
        <v>0.67035398230088505</v>
      </c>
      <c r="I62" s="24">
        <f t="shared" si="4"/>
        <v>1.3407079646017701</v>
      </c>
    </row>
    <row r="63" spans="1:9" x14ac:dyDescent="0.25">
      <c r="A63" s="6">
        <v>39</v>
      </c>
      <c r="B63" t="s">
        <v>54</v>
      </c>
      <c r="C63" s="12">
        <v>0.188</v>
      </c>
      <c r="D63" s="12">
        <v>0.16400000000000001</v>
      </c>
      <c r="F63" s="22">
        <f t="shared" si="1"/>
        <v>0.17599999999999999</v>
      </c>
      <c r="G63" s="23">
        <f t="shared" si="2"/>
        <v>0.13999999999999999</v>
      </c>
      <c r="H63" s="15">
        <f t="shared" si="3"/>
        <v>0.62057522123893805</v>
      </c>
      <c r="I63" s="24">
        <f t="shared" si="4"/>
        <v>1.2411504424778761</v>
      </c>
    </row>
    <row r="64" spans="1:9" x14ac:dyDescent="0.25">
      <c r="A64" s="6">
        <v>40</v>
      </c>
      <c r="B64" t="s">
        <v>55</v>
      </c>
      <c r="C64" s="12">
        <v>0.20600000000000002</v>
      </c>
      <c r="D64" s="12">
        <v>0.15600000000000003</v>
      </c>
      <c r="F64" s="22">
        <f t="shared" si="1"/>
        <v>0.18100000000000002</v>
      </c>
      <c r="G64" s="23">
        <f t="shared" si="2"/>
        <v>0.14500000000000002</v>
      </c>
      <c r="H64" s="15">
        <f t="shared" si="3"/>
        <v>0.6482300884955754</v>
      </c>
      <c r="I64" s="24">
        <f t="shared" si="4"/>
        <v>1.2964601769911508</v>
      </c>
    </row>
    <row r="65" spans="1:9" x14ac:dyDescent="0.25">
      <c r="A65" s="6">
        <v>41</v>
      </c>
      <c r="B65" t="s">
        <v>56</v>
      </c>
      <c r="C65" s="23">
        <v>0.17599999999999999</v>
      </c>
      <c r="D65" s="23">
        <v>0.17399999999999999</v>
      </c>
      <c r="F65" s="22">
        <f>AVERAGE(C65:D65)</f>
        <v>0.17499999999999999</v>
      </c>
      <c r="G65" s="23">
        <f>F65-$G$14</f>
        <v>0.13899999999999998</v>
      </c>
      <c r="H65" s="15">
        <f>(G65-0.0278)/0.1808</f>
        <v>0.61504424778761058</v>
      </c>
      <c r="I65" s="24">
        <f>(H65*2)</f>
        <v>1.2300884955752212</v>
      </c>
    </row>
    <row r="66" spans="1:9" x14ac:dyDescent="0.25">
      <c r="A66" s="6">
        <v>42</v>
      </c>
      <c r="B66" t="s">
        <v>57</v>
      </c>
      <c r="C66" s="23">
        <v>0.15100000000000002</v>
      </c>
      <c r="D66" s="23">
        <v>0.14499999999999999</v>
      </c>
      <c r="F66" s="22">
        <f t="shared" ref="F66:F104" si="5">AVERAGE(C66:D66)</f>
        <v>0.14800000000000002</v>
      </c>
      <c r="G66" s="23">
        <f t="shared" ref="G66:G104" si="6">F66-$G$14</f>
        <v>0.11200000000000002</v>
      </c>
      <c r="H66" s="15">
        <f t="shared" ref="H66:H103" si="7">(G66-0.0278)/0.1808</f>
        <v>0.46570796460177005</v>
      </c>
      <c r="I66" s="24">
        <f t="shared" ref="I66:I104" si="8">(H66*2)</f>
        <v>0.9314159292035401</v>
      </c>
    </row>
    <row r="67" spans="1:9" x14ac:dyDescent="0.25">
      <c r="A67" s="6">
        <v>43</v>
      </c>
      <c r="B67" t="s">
        <v>58</v>
      </c>
      <c r="C67" s="23">
        <v>0.16799999999999998</v>
      </c>
      <c r="D67" s="23">
        <v>0.16999999999999998</v>
      </c>
      <c r="F67" s="22">
        <f t="shared" si="5"/>
        <v>0.16899999999999998</v>
      </c>
      <c r="G67" s="23">
        <f t="shared" si="6"/>
        <v>0.13299999999999998</v>
      </c>
      <c r="H67" s="15">
        <f t="shared" si="7"/>
        <v>0.58185840707964598</v>
      </c>
      <c r="I67" s="24">
        <f t="shared" si="8"/>
        <v>1.163716814159292</v>
      </c>
    </row>
    <row r="68" spans="1:9" x14ac:dyDescent="0.25">
      <c r="A68" s="6">
        <v>44</v>
      </c>
      <c r="B68" t="s">
        <v>59</v>
      </c>
      <c r="C68" s="23">
        <v>0.15500000000000003</v>
      </c>
      <c r="D68" s="23">
        <v>0.15600000000000003</v>
      </c>
      <c r="F68" s="22">
        <f t="shared" si="5"/>
        <v>0.15550000000000003</v>
      </c>
      <c r="G68" s="23">
        <f t="shared" si="6"/>
        <v>0.11950000000000002</v>
      </c>
      <c r="H68" s="15">
        <f t="shared" si="7"/>
        <v>0.50719026548672586</v>
      </c>
      <c r="I68" s="24">
        <f t="shared" si="8"/>
        <v>1.0143805309734517</v>
      </c>
    </row>
    <row r="69" spans="1:9" x14ac:dyDescent="0.25">
      <c r="A69" s="6">
        <v>45</v>
      </c>
      <c r="B69" t="s">
        <v>60</v>
      </c>
      <c r="C69" s="23">
        <v>0.15700000000000003</v>
      </c>
      <c r="D69" s="23">
        <v>0.15700000000000003</v>
      </c>
      <c r="F69" s="22">
        <f t="shared" si="5"/>
        <v>0.15700000000000003</v>
      </c>
      <c r="G69" s="23">
        <f t="shared" si="6"/>
        <v>0.12100000000000002</v>
      </c>
      <c r="H69" s="15">
        <f t="shared" si="7"/>
        <v>0.515486725663717</v>
      </c>
      <c r="I69" s="24">
        <f t="shared" si="8"/>
        <v>1.030973451327434</v>
      </c>
    </row>
    <row r="70" spans="1:9" x14ac:dyDescent="0.25">
      <c r="A70" s="6">
        <v>46</v>
      </c>
      <c r="B70" t="s">
        <v>61</v>
      </c>
      <c r="C70" s="23">
        <v>0.16199999999999998</v>
      </c>
      <c r="D70" s="23">
        <v>0.16399999999999998</v>
      </c>
      <c r="F70" s="22">
        <f t="shared" si="5"/>
        <v>0.16299999999999998</v>
      </c>
      <c r="G70" s="23">
        <f t="shared" si="6"/>
        <v>0.12699999999999997</v>
      </c>
      <c r="H70" s="15">
        <f t="shared" si="7"/>
        <v>0.54867256637168138</v>
      </c>
      <c r="I70" s="24">
        <f t="shared" si="8"/>
        <v>1.0973451327433628</v>
      </c>
    </row>
    <row r="71" spans="1:9" x14ac:dyDescent="0.25">
      <c r="A71" s="6">
        <v>47</v>
      </c>
      <c r="B71" t="s">
        <v>62</v>
      </c>
      <c r="C71" s="23">
        <v>0.16499999999999998</v>
      </c>
      <c r="D71" s="23">
        <v>0.16699999999999998</v>
      </c>
      <c r="F71" s="22">
        <f t="shared" si="5"/>
        <v>0.16599999999999998</v>
      </c>
      <c r="G71" s="23">
        <f t="shared" si="6"/>
        <v>0.12999999999999998</v>
      </c>
      <c r="H71" s="15">
        <f t="shared" si="7"/>
        <v>0.56526548672566368</v>
      </c>
      <c r="I71" s="24">
        <f t="shared" si="8"/>
        <v>1.1305309734513274</v>
      </c>
    </row>
    <row r="72" spans="1:9" x14ac:dyDescent="0.25">
      <c r="A72" s="6">
        <v>48</v>
      </c>
      <c r="B72" t="s">
        <v>63</v>
      </c>
      <c r="C72" s="23">
        <v>0.17699999999999999</v>
      </c>
      <c r="D72" s="23">
        <v>0.16399999999999998</v>
      </c>
      <c r="F72" s="22">
        <f t="shared" si="5"/>
        <v>0.17049999999999998</v>
      </c>
      <c r="G72" s="23">
        <f t="shared" si="6"/>
        <v>0.13449999999999998</v>
      </c>
      <c r="H72" s="15">
        <f t="shared" si="7"/>
        <v>0.59015486725663713</v>
      </c>
      <c r="I72" s="24">
        <f t="shared" si="8"/>
        <v>1.1803097345132743</v>
      </c>
    </row>
    <row r="73" spans="1:9" x14ac:dyDescent="0.25">
      <c r="A73" s="6">
        <v>49</v>
      </c>
      <c r="B73" t="s">
        <v>64</v>
      </c>
      <c r="C73" s="23">
        <v>0.16099999999999998</v>
      </c>
      <c r="D73" s="23">
        <v>0.16599999999999998</v>
      </c>
      <c r="F73" s="22">
        <f t="shared" si="5"/>
        <v>0.16349999999999998</v>
      </c>
      <c r="G73" s="23">
        <f t="shared" si="6"/>
        <v>0.12749999999999997</v>
      </c>
      <c r="H73" s="15">
        <f t="shared" si="7"/>
        <v>0.55143805309734506</v>
      </c>
      <c r="I73" s="24">
        <f t="shared" si="8"/>
        <v>1.1028761061946901</v>
      </c>
    </row>
    <row r="74" spans="1:9" x14ac:dyDescent="0.25">
      <c r="A74" s="6">
        <v>50</v>
      </c>
      <c r="B74" t="s">
        <v>65</v>
      </c>
      <c r="C74" s="23">
        <v>0.17199999999999999</v>
      </c>
      <c r="D74" s="23">
        <v>0.14600000000000002</v>
      </c>
      <c r="F74" s="22">
        <f t="shared" si="5"/>
        <v>0.159</v>
      </c>
      <c r="G74" s="23">
        <f t="shared" si="6"/>
        <v>0.123</v>
      </c>
      <c r="H74" s="15">
        <f t="shared" si="7"/>
        <v>0.52654867256637172</v>
      </c>
      <c r="I74" s="24">
        <f t="shared" si="8"/>
        <v>1.0530973451327434</v>
      </c>
    </row>
    <row r="75" spans="1:9" x14ac:dyDescent="0.25">
      <c r="A75" s="6">
        <v>51</v>
      </c>
      <c r="B75" t="s">
        <v>66</v>
      </c>
      <c r="C75" s="23">
        <v>0.183</v>
      </c>
      <c r="D75" s="23">
        <v>0.18099999999999999</v>
      </c>
      <c r="F75" s="22">
        <f t="shared" si="5"/>
        <v>0.182</v>
      </c>
      <c r="G75" s="23">
        <f t="shared" si="6"/>
        <v>0.14599999999999999</v>
      </c>
      <c r="H75" s="15">
        <f t="shared" si="7"/>
        <v>0.65376106194690264</v>
      </c>
      <c r="I75" s="24">
        <f t="shared" si="8"/>
        <v>1.3075221238938053</v>
      </c>
    </row>
    <row r="76" spans="1:9" x14ac:dyDescent="0.25">
      <c r="A76" s="6">
        <v>52</v>
      </c>
      <c r="B76" t="s">
        <v>67</v>
      </c>
      <c r="C76" s="23">
        <v>0.16899999999999998</v>
      </c>
      <c r="D76" s="23">
        <v>0.17399999999999999</v>
      </c>
      <c r="F76" s="22">
        <f t="shared" si="5"/>
        <v>0.17149999999999999</v>
      </c>
      <c r="G76" s="23">
        <f t="shared" si="6"/>
        <v>0.13549999999999998</v>
      </c>
      <c r="H76" s="15">
        <f t="shared" si="7"/>
        <v>0.5956858407079646</v>
      </c>
      <c r="I76" s="24">
        <f t="shared" si="8"/>
        <v>1.1913716814159292</v>
      </c>
    </row>
    <row r="77" spans="1:9" x14ac:dyDescent="0.25">
      <c r="A77" s="6">
        <v>53</v>
      </c>
      <c r="B77" t="s">
        <v>68</v>
      </c>
      <c r="C77" s="23">
        <v>0.16199999999999998</v>
      </c>
      <c r="D77" s="23">
        <v>0.16899999999999998</v>
      </c>
      <c r="F77" s="22">
        <f t="shared" si="5"/>
        <v>0.16549999999999998</v>
      </c>
      <c r="G77" s="23">
        <f t="shared" si="6"/>
        <v>0.12949999999999998</v>
      </c>
      <c r="H77" s="15">
        <f t="shared" si="7"/>
        <v>0.5625</v>
      </c>
      <c r="I77" s="24">
        <f t="shared" si="8"/>
        <v>1.125</v>
      </c>
    </row>
    <row r="78" spans="1:9" x14ac:dyDescent="0.25">
      <c r="A78" s="6">
        <v>54</v>
      </c>
      <c r="B78" t="s">
        <v>69</v>
      </c>
      <c r="C78" s="23">
        <v>0.15800000000000003</v>
      </c>
      <c r="D78" s="23">
        <v>0.15900000000000003</v>
      </c>
      <c r="F78" s="22">
        <f t="shared" si="5"/>
        <v>0.15850000000000003</v>
      </c>
      <c r="G78" s="23">
        <f t="shared" si="6"/>
        <v>0.12250000000000003</v>
      </c>
      <c r="H78" s="15">
        <f t="shared" si="7"/>
        <v>0.52378318584070815</v>
      </c>
      <c r="I78" s="24">
        <f t="shared" si="8"/>
        <v>1.0475663716814163</v>
      </c>
    </row>
    <row r="79" spans="1:9" x14ac:dyDescent="0.25">
      <c r="A79" s="6">
        <v>55</v>
      </c>
      <c r="B79" t="s">
        <v>70</v>
      </c>
      <c r="C79" s="23">
        <v>0.14500000000000002</v>
      </c>
      <c r="D79" s="23">
        <v>0.14700000000000002</v>
      </c>
      <c r="F79" s="22">
        <f t="shared" si="5"/>
        <v>0.14600000000000002</v>
      </c>
      <c r="G79" s="23">
        <f t="shared" si="6"/>
        <v>0.11000000000000001</v>
      </c>
      <c r="H79" s="15">
        <f t="shared" si="7"/>
        <v>0.45464601769911522</v>
      </c>
      <c r="I79" s="24">
        <f t="shared" si="8"/>
        <v>0.90929203539823045</v>
      </c>
    </row>
    <row r="80" spans="1:9" x14ac:dyDescent="0.25">
      <c r="A80" s="6">
        <v>56</v>
      </c>
      <c r="B80" t="s">
        <v>71</v>
      </c>
      <c r="C80" s="23">
        <v>0.15500000000000003</v>
      </c>
      <c r="D80" s="23">
        <v>0.15500000000000003</v>
      </c>
      <c r="F80" s="22">
        <f t="shared" si="5"/>
        <v>0.15500000000000003</v>
      </c>
      <c r="G80" s="23">
        <f t="shared" si="6"/>
        <v>0.11900000000000002</v>
      </c>
      <c r="H80" s="15">
        <f t="shared" si="7"/>
        <v>0.50442477876106218</v>
      </c>
      <c r="I80" s="24">
        <f t="shared" si="8"/>
        <v>1.0088495575221244</v>
      </c>
    </row>
    <row r="81" spans="1:9" x14ac:dyDescent="0.25">
      <c r="A81" s="6">
        <v>57</v>
      </c>
      <c r="B81" t="s">
        <v>72</v>
      </c>
      <c r="C81" s="23">
        <v>0.24099999999999999</v>
      </c>
      <c r="D81" s="23">
        <v>0.21100000000000002</v>
      </c>
      <c r="F81" s="22">
        <f t="shared" si="5"/>
        <v>0.22600000000000001</v>
      </c>
      <c r="G81" s="23">
        <f t="shared" si="6"/>
        <v>0.19</v>
      </c>
      <c r="H81" s="15">
        <f t="shared" si="7"/>
        <v>0.89712389380530988</v>
      </c>
      <c r="I81" s="24">
        <f t="shared" si="8"/>
        <v>1.7942477876106198</v>
      </c>
    </row>
    <row r="82" spans="1:9" x14ac:dyDescent="0.25">
      <c r="A82" s="6">
        <v>58</v>
      </c>
      <c r="B82" t="s">
        <v>73</v>
      </c>
      <c r="C82" s="23">
        <v>0.26800000000000002</v>
      </c>
      <c r="D82" s="23">
        <v>0.27500000000000002</v>
      </c>
      <c r="F82" s="22">
        <f t="shared" si="5"/>
        <v>0.27150000000000002</v>
      </c>
      <c r="G82" s="23">
        <f t="shared" si="6"/>
        <v>0.23550000000000001</v>
      </c>
      <c r="H82" s="15">
        <f t="shared" si="7"/>
        <v>1.1487831858407083</v>
      </c>
      <c r="I82" s="24">
        <f t="shared" si="8"/>
        <v>2.2975663716814165</v>
      </c>
    </row>
    <row r="83" spans="1:9" x14ac:dyDescent="0.25">
      <c r="A83" s="6">
        <v>59</v>
      </c>
      <c r="B83" t="s">
        <v>74</v>
      </c>
      <c r="C83" s="23">
        <v>0.28900000000000003</v>
      </c>
      <c r="D83" s="23">
        <v>0.29500000000000004</v>
      </c>
      <c r="F83" s="22">
        <f t="shared" si="5"/>
        <v>0.29200000000000004</v>
      </c>
      <c r="G83" s="23">
        <f t="shared" si="6"/>
        <v>0.25600000000000006</v>
      </c>
      <c r="H83" s="15">
        <f t="shared" si="7"/>
        <v>1.2621681415929209</v>
      </c>
      <c r="I83" s="24">
        <f t="shared" si="8"/>
        <v>2.5243362831858418</v>
      </c>
    </row>
    <row r="84" spans="1:9" x14ac:dyDescent="0.25">
      <c r="A84" s="6">
        <v>60</v>
      </c>
      <c r="B84" t="s">
        <v>75</v>
      </c>
      <c r="C84" s="23">
        <v>0.38500000000000001</v>
      </c>
      <c r="D84" s="23">
        <v>0.38900000000000001</v>
      </c>
      <c r="F84" s="22">
        <f t="shared" si="5"/>
        <v>0.38700000000000001</v>
      </c>
      <c r="G84" s="23">
        <f t="shared" si="6"/>
        <v>0.35100000000000003</v>
      </c>
      <c r="H84" s="15">
        <f t="shared" si="7"/>
        <v>1.7876106194690269</v>
      </c>
      <c r="I84" s="24">
        <f t="shared" si="8"/>
        <v>3.5752212389380538</v>
      </c>
    </row>
    <row r="85" spans="1:9" x14ac:dyDescent="0.25">
      <c r="A85" s="6">
        <v>61</v>
      </c>
      <c r="B85" t="s">
        <v>76</v>
      </c>
      <c r="C85" s="23">
        <v>0.12499999999999999</v>
      </c>
      <c r="D85" s="23">
        <v>0.112</v>
      </c>
      <c r="F85" s="22">
        <f t="shared" si="5"/>
        <v>0.11849999999999999</v>
      </c>
      <c r="G85" s="23">
        <f t="shared" si="6"/>
        <v>8.249999999999999E-2</v>
      </c>
      <c r="H85" s="15">
        <f t="shared" si="7"/>
        <v>0.30254424778761058</v>
      </c>
      <c r="I85" s="24">
        <f t="shared" si="8"/>
        <v>0.60508849557522115</v>
      </c>
    </row>
    <row r="86" spans="1:9" x14ac:dyDescent="0.25">
      <c r="A86" s="6">
        <v>62</v>
      </c>
      <c r="B86" t="s">
        <v>77</v>
      </c>
      <c r="C86" s="23">
        <v>0.11899999999999999</v>
      </c>
      <c r="D86" s="23">
        <v>0.11600000000000001</v>
      </c>
      <c r="F86" s="22">
        <f t="shared" si="5"/>
        <v>0.11749999999999999</v>
      </c>
      <c r="G86" s="23">
        <f t="shared" si="6"/>
        <v>8.1499999999999989E-2</v>
      </c>
      <c r="H86" s="15">
        <f t="shared" si="7"/>
        <v>0.29701327433628316</v>
      </c>
      <c r="I86" s="24">
        <f t="shared" si="8"/>
        <v>0.59402654867256632</v>
      </c>
    </row>
    <row r="87" spans="1:9" x14ac:dyDescent="0.25">
      <c r="A87" s="6">
        <v>63</v>
      </c>
      <c r="B87" t="s">
        <v>78</v>
      </c>
      <c r="C87" s="23">
        <v>0.15200000000000002</v>
      </c>
      <c r="D87" s="23">
        <v>0.13800000000000001</v>
      </c>
      <c r="F87" s="22">
        <f t="shared" si="5"/>
        <v>0.14500000000000002</v>
      </c>
      <c r="G87" s="23">
        <f t="shared" si="6"/>
        <v>0.10900000000000001</v>
      </c>
      <c r="H87" s="15">
        <f t="shared" si="7"/>
        <v>0.44911504424778775</v>
      </c>
      <c r="I87" s="24">
        <f t="shared" si="8"/>
        <v>0.89823008849557551</v>
      </c>
    </row>
    <row r="88" spans="1:9" x14ac:dyDescent="0.25">
      <c r="A88" s="6">
        <v>64</v>
      </c>
      <c r="B88" t="s">
        <v>79</v>
      </c>
      <c r="C88" s="23">
        <v>0.15600000000000003</v>
      </c>
      <c r="D88" s="23">
        <v>0.152</v>
      </c>
      <c r="F88" s="22">
        <f t="shared" si="5"/>
        <v>0.15400000000000003</v>
      </c>
      <c r="G88" s="23">
        <f t="shared" si="6"/>
        <v>0.11800000000000002</v>
      </c>
      <c r="H88" s="15">
        <f t="shared" si="7"/>
        <v>0.49889380530973471</v>
      </c>
      <c r="I88" s="24">
        <f t="shared" si="8"/>
        <v>0.99778761061946941</v>
      </c>
    </row>
    <row r="89" spans="1:9" x14ac:dyDescent="0.25">
      <c r="A89" s="6">
        <v>65</v>
      </c>
      <c r="B89" t="s">
        <v>80</v>
      </c>
      <c r="C89" s="23">
        <v>0.10099999999999998</v>
      </c>
      <c r="D89" s="23">
        <v>0.124</v>
      </c>
      <c r="F89" s="22">
        <f t="shared" si="5"/>
        <v>0.11249999999999999</v>
      </c>
      <c r="G89" s="23">
        <f t="shared" si="6"/>
        <v>7.6499999999999985E-2</v>
      </c>
      <c r="H89" s="15">
        <f t="shared" si="7"/>
        <v>0.26935840707964598</v>
      </c>
      <c r="I89" s="24">
        <f t="shared" si="8"/>
        <v>0.53871681415929196</v>
      </c>
    </row>
    <row r="90" spans="1:9" x14ac:dyDescent="0.25">
      <c r="A90" s="6">
        <v>66</v>
      </c>
      <c r="B90" t="s">
        <v>81</v>
      </c>
      <c r="C90" s="23">
        <v>0.125</v>
      </c>
      <c r="D90" s="23">
        <v>0.13600000000000001</v>
      </c>
      <c r="F90" s="22">
        <f t="shared" si="5"/>
        <v>0.1305</v>
      </c>
      <c r="G90" s="23">
        <f t="shared" si="6"/>
        <v>9.4500000000000001E-2</v>
      </c>
      <c r="H90" s="15">
        <f t="shared" si="7"/>
        <v>0.36891592920353988</v>
      </c>
      <c r="I90" s="24">
        <f t="shared" si="8"/>
        <v>0.73783185840707977</v>
      </c>
    </row>
    <row r="91" spans="1:9" x14ac:dyDescent="0.25">
      <c r="A91" s="6">
        <v>67</v>
      </c>
      <c r="B91" t="s">
        <v>82</v>
      </c>
      <c r="C91" s="23">
        <v>0.126</v>
      </c>
      <c r="D91" s="23">
        <v>0.13</v>
      </c>
      <c r="F91" s="22">
        <f t="shared" si="5"/>
        <v>0.128</v>
      </c>
      <c r="G91" s="23">
        <f t="shared" si="6"/>
        <v>9.1999999999999998E-2</v>
      </c>
      <c r="H91" s="15">
        <f t="shared" si="7"/>
        <v>0.35508849557522132</v>
      </c>
      <c r="I91" s="24">
        <f t="shared" si="8"/>
        <v>0.71017699115044264</v>
      </c>
    </row>
    <row r="92" spans="1:9" x14ac:dyDescent="0.25">
      <c r="A92" s="6">
        <v>68</v>
      </c>
      <c r="B92" t="s">
        <v>83</v>
      </c>
      <c r="C92" s="23">
        <v>0.16099999999999998</v>
      </c>
      <c r="D92" s="23">
        <v>0.16199999999999998</v>
      </c>
      <c r="F92" s="22">
        <f t="shared" si="5"/>
        <v>0.16149999999999998</v>
      </c>
      <c r="G92" s="23">
        <f t="shared" si="6"/>
        <v>0.12549999999999997</v>
      </c>
      <c r="H92" s="15">
        <f t="shared" si="7"/>
        <v>0.54037610619469023</v>
      </c>
      <c r="I92" s="24">
        <f t="shared" si="8"/>
        <v>1.0807522123893805</v>
      </c>
    </row>
    <row r="93" spans="1:9" x14ac:dyDescent="0.25">
      <c r="A93" s="6">
        <v>69</v>
      </c>
      <c r="B93" t="s">
        <v>84</v>
      </c>
      <c r="C93" s="23">
        <v>0.14700000000000002</v>
      </c>
      <c r="D93" s="23">
        <v>0.15600000000000003</v>
      </c>
      <c r="F93" s="22">
        <f t="shared" si="5"/>
        <v>0.15150000000000002</v>
      </c>
      <c r="G93" s="23">
        <f t="shared" si="6"/>
        <v>0.11550000000000002</v>
      </c>
      <c r="H93" s="15">
        <f t="shared" si="7"/>
        <v>0.48506637168141614</v>
      </c>
      <c r="I93" s="24">
        <f t="shared" si="8"/>
        <v>0.97013274336283228</v>
      </c>
    </row>
    <row r="94" spans="1:9" x14ac:dyDescent="0.25">
      <c r="A94" s="6">
        <v>70</v>
      </c>
      <c r="B94" t="s">
        <v>85</v>
      </c>
      <c r="C94" s="23">
        <v>0.126</v>
      </c>
      <c r="D94" s="23">
        <v>0.114</v>
      </c>
      <c r="F94" s="22">
        <f t="shared" si="5"/>
        <v>0.12</v>
      </c>
      <c r="G94" s="23">
        <f t="shared" si="6"/>
        <v>8.3999999999999991E-2</v>
      </c>
      <c r="H94" s="15">
        <f t="shared" si="7"/>
        <v>0.31084070796460173</v>
      </c>
      <c r="I94" s="24">
        <f t="shared" si="8"/>
        <v>0.62168141592920345</v>
      </c>
    </row>
    <row r="95" spans="1:9" x14ac:dyDescent="0.25">
      <c r="A95" s="6">
        <v>71</v>
      </c>
      <c r="B95" t="s">
        <v>86</v>
      </c>
      <c r="C95" s="23">
        <v>0.115</v>
      </c>
      <c r="D95" s="23">
        <v>0.12100000000000001</v>
      </c>
      <c r="F95" s="22">
        <f t="shared" si="5"/>
        <v>0.11800000000000001</v>
      </c>
      <c r="G95" s="23">
        <f t="shared" si="6"/>
        <v>8.2000000000000017E-2</v>
      </c>
      <c r="H95" s="15">
        <f t="shared" si="7"/>
        <v>0.29977876106194701</v>
      </c>
      <c r="I95" s="24">
        <f t="shared" si="8"/>
        <v>0.59955752212389402</v>
      </c>
    </row>
    <row r="96" spans="1:9" x14ac:dyDescent="0.25">
      <c r="A96" s="6">
        <v>72</v>
      </c>
      <c r="B96" t="s">
        <v>87</v>
      </c>
      <c r="C96" s="23">
        <v>0.12999999999999998</v>
      </c>
      <c r="D96" s="23">
        <v>0.13799999999999998</v>
      </c>
      <c r="F96" s="22">
        <f t="shared" si="5"/>
        <v>0.13399999999999998</v>
      </c>
      <c r="G96" s="23">
        <f t="shared" si="6"/>
        <v>9.7999999999999976E-2</v>
      </c>
      <c r="H96" s="15">
        <f t="shared" si="7"/>
        <v>0.38827433628318581</v>
      </c>
      <c r="I96" s="24">
        <f t="shared" si="8"/>
        <v>0.77654867256637161</v>
      </c>
    </row>
    <row r="97" spans="1:9" x14ac:dyDescent="0.25">
      <c r="A97" s="6">
        <v>73</v>
      </c>
      <c r="B97" t="s">
        <v>88</v>
      </c>
      <c r="C97" s="23">
        <v>0.10899999999999999</v>
      </c>
      <c r="D97" s="23">
        <v>0.11899999999999999</v>
      </c>
      <c r="F97" s="22">
        <f t="shared" si="5"/>
        <v>0.11399999999999999</v>
      </c>
      <c r="G97" s="23">
        <f t="shared" si="6"/>
        <v>7.7999999999999986E-2</v>
      </c>
      <c r="H97" s="15">
        <f t="shared" si="7"/>
        <v>0.27765486725663713</v>
      </c>
      <c r="I97" s="24">
        <f t="shared" si="8"/>
        <v>0.55530973451327426</v>
      </c>
    </row>
    <row r="98" spans="1:9" x14ac:dyDescent="0.25">
      <c r="A98" s="6">
        <v>74</v>
      </c>
      <c r="B98" t="s">
        <v>89</v>
      </c>
      <c r="C98" s="23">
        <v>0.10699999999999998</v>
      </c>
      <c r="D98" s="23">
        <v>0.122</v>
      </c>
      <c r="F98" s="22">
        <f t="shared" si="5"/>
        <v>0.11449999999999999</v>
      </c>
      <c r="G98" s="23">
        <f t="shared" si="6"/>
        <v>7.8499999999999986E-2</v>
      </c>
      <c r="H98" s="15">
        <f t="shared" si="7"/>
        <v>0.28042035398230086</v>
      </c>
      <c r="I98" s="24">
        <f t="shared" si="8"/>
        <v>0.56084070796460173</v>
      </c>
    </row>
    <row r="99" spans="1:9" x14ac:dyDescent="0.25">
      <c r="A99" s="6">
        <v>75</v>
      </c>
      <c r="B99" t="s">
        <v>90</v>
      </c>
      <c r="C99" s="23">
        <v>0.11099999999999999</v>
      </c>
      <c r="D99" s="23">
        <v>7.7999999999999986E-2</v>
      </c>
      <c r="F99" s="22">
        <f t="shared" si="5"/>
        <v>9.4499999999999987E-2</v>
      </c>
      <c r="G99" s="23">
        <f t="shared" si="6"/>
        <v>5.849999999999999E-2</v>
      </c>
      <c r="H99" s="15">
        <f t="shared" si="7"/>
        <v>0.16980088495575218</v>
      </c>
      <c r="I99" s="24">
        <f t="shared" si="8"/>
        <v>0.33960176991150437</v>
      </c>
    </row>
    <row r="100" spans="1:9" x14ac:dyDescent="0.25">
      <c r="A100" s="6">
        <v>76</v>
      </c>
      <c r="B100" t="s">
        <v>91</v>
      </c>
      <c r="C100" s="23">
        <v>0.13200000000000001</v>
      </c>
      <c r="D100" s="23">
        <v>0.122</v>
      </c>
      <c r="F100" s="22">
        <f t="shared" si="5"/>
        <v>0.127</v>
      </c>
      <c r="G100" s="23">
        <f t="shared" si="6"/>
        <v>9.0999999999999998E-2</v>
      </c>
      <c r="H100" s="15">
        <f t="shared" si="7"/>
        <v>0.34955752212389385</v>
      </c>
      <c r="I100" s="24">
        <f t="shared" si="8"/>
        <v>0.6991150442477877</v>
      </c>
    </row>
    <row r="101" spans="1:9" x14ac:dyDescent="0.25">
      <c r="A101" s="6">
        <v>77</v>
      </c>
      <c r="B101" t="s">
        <v>92</v>
      </c>
      <c r="C101" s="23">
        <v>0.14600000000000002</v>
      </c>
      <c r="D101" s="23">
        <v>0.106</v>
      </c>
      <c r="F101" s="22">
        <f t="shared" si="5"/>
        <v>0.126</v>
      </c>
      <c r="G101" s="23">
        <f t="shared" si="6"/>
        <v>0.09</v>
      </c>
      <c r="H101" s="15">
        <f t="shared" si="7"/>
        <v>0.34402654867256638</v>
      </c>
      <c r="I101" s="24">
        <f t="shared" si="8"/>
        <v>0.68805309734513276</v>
      </c>
    </row>
    <row r="102" spans="1:9" x14ac:dyDescent="0.25">
      <c r="A102" s="6">
        <v>78</v>
      </c>
      <c r="B102" t="s">
        <v>93</v>
      </c>
      <c r="C102" s="23">
        <v>0.15300000000000002</v>
      </c>
      <c r="D102" s="23">
        <v>0.123</v>
      </c>
      <c r="F102" s="22">
        <f t="shared" si="5"/>
        <v>0.13800000000000001</v>
      </c>
      <c r="G102" s="23">
        <f t="shared" si="6"/>
        <v>0.10200000000000001</v>
      </c>
      <c r="H102" s="15">
        <f t="shared" si="7"/>
        <v>0.41039823008849569</v>
      </c>
      <c r="I102" s="24">
        <f t="shared" si="8"/>
        <v>0.82079646017699137</v>
      </c>
    </row>
    <row r="103" spans="1:9" x14ac:dyDescent="0.25">
      <c r="A103" s="6">
        <v>79</v>
      </c>
      <c r="B103" t="s">
        <v>94</v>
      </c>
      <c r="C103" s="23">
        <v>0.15699999999999997</v>
      </c>
      <c r="D103" s="23">
        <v>0.128</v>
      </c>
      <c r="F103" s="22">
        <f t="shared" si="5"/>
        <v>0.14249999999999999</v>
      </c>
      <c r="G103" s="23">
        <f t="shared" si="6"/>
        <v>0.10649999999999998</v>
      </c>
      <c r="H103" s="15">
        <f t="shared" si="7"/>
        <v>0.43528761061946902</v>
      </c>
      <c r="I103" s="24">
        <f t="shared" si="8"/>
        <v>0.87057522123893805</v>
      </c>
    </row>
    <row r="104" spans="1:9" x14ac:dyDescent="0.25">
      <c r="A104" s="6">
        <v>80</v>
      </c>
      <c r="B104" t="s">
        <v>95</v>
      </c>
      <c r="C104" s="23">
        <v>0.184</v>
      </c>
      <c r="D104" s="23">
        <v>0.183</v>
      </c>
      <c r="F104" s="22">
        <f t="shared" si="5"/>
        <v>0.1835</v>
      </c>
      <c r="G104" s="23">
        <f t="shared" si="6"/>
        <v>0.14749999999999999</v>
      </c>
      <c r="H104" s="15">
        <f>(G104-0.0278)/0.1808</f>
        <v>0.6620575221238939</v>
      </c>
      <c r="I104" s="24">
        <f t="shared" si="8"/>
        <v>1.3241150442477878</v>
      </c>
    </row>
    <row r="105" spans="1:9" x14ac:dyDescent="0.25">
      <c r="A105" s="6">
        <v>81</v>
      </c>
      <c r="B105" t="s">
        <v>96</v>
      </c>
      <c r="C105" s="12">
        <v>0.15000000000000002</v>
      </c>
      <c r="D105" s="12">
        <v>0.14200000000000002</v>
      </c>
      <c r="F105" s="22">
        <f>AVERAGE(C105:D105)</f>
        <v>0.14600000000000002</v>
      </c>
      <c r="G105" s="23">
        <f>F105-G$14</f>
        <v>0.11000000000000001</v>
      </c>
      <c r="H105" s="15">
        <f>(G105-0.0278)/0.1808</f>
        <v>0.45464601769911522</v>
      </c>
      <c r="I105" s="24">
        <f>(H105*2)</f>
        <v>0.90929203539823045</v>
      </c>
    </row>
    <row r="106" spans="1:9" x14ac:dyDescent="0.25">
      <c r="A106" s="6">
        <v>82</v>
      </c>
      <c r="B106" t="s">
        <v>97</v>
      </c>
      <c r="C106" s="12">
        <v>0.13700000000000001</v>
      </c>
      <c r="D106" s="12">
        <v>0.11800000000000001</v>
      </c>
      <c r="F106" s="22">
        <f t="shared" ref="F106:F144" si="9">AVERAGE(C106:D106)</f>
        <v>0.1275</v>
      </c>
      <c r="G106" s="23">
        <f t="shared" ref="G106:G144" si="10">F106-G$14</f>
        <v>9.1499999999999998E-2</v>
      </c>
      <c r="H106" s="15">
        <f t="shared" ref="H106:H144" si="11">(G106-0.0278)/0.1808</f>
        <v>0.35232300884955758</v>
      </c>
      <c r="I106" s="24">
        <f t="shared" ref="I106:I144" si="12">(H106*2)</f>
        <v>0.70464601769911517</v>
      </c>
    </row>
    <row r="107" spans="1:9" x14ac:dyDescent="0.25">
      <c r="A107" s="6">
        <v>83</v>
      </c>
      <c r="B107" t="s">
        <v>98</v>
      </c>
      <c r="C107" s="12">
        <v>0.12200000000000001</v>
      </c>
      <c r="D107" s="12">
        <v>0.129</v>
      </c>
      <c r="F107" s="22">
        <f t="shared" si="9"/>
        <v>0.1255</v>
      </c>
      <c r="G107" s="23">
        <f t="shared" si="10"/>
        <v>8.9499999999999996E-2</v>
      </c>
      <c r="H107" s="15">
        <f t="shared" si="11"/>
        <v>0.34126106194690264</v>
      </c>
      <c r="I107" s="24">
        <f t="shared" si="12"/>
        <v>0.68252212389380529</v>
      </c>
    </row>
    <row r="108" spans="1:9" x14ac:dyDescent="0.25">
      <c r="A108" s="6">
        <v>84</v>
      </c>
      <c r="B108" t="s">
        <v>99</v>
      </c>
      <c r="C108" s="12">
        <v>0.188</v>
      </c>
      <c r="D108" s="12">
        <v>0.186</v>
      </c>
      <c r="F108" s="22">
        <f t="shared" si="9"/>
        <v>0.187</v>
      </c>
      <c r="G108" s="23">
        <f t="shared" si="10"/>
        <v>0.151</v>
      </c>
      <c r="H108" s="15">
        <f t="shared" si="11"/>
        <v>0.68141592920353988</v>
      </c>
      <c r="I108" s="24">
        <f t="shared" si="12"/>
        <v>1.3628318584070798</v>
      </c>
    </row>
    <row r="109" spans="1:9" x14ac:dyDescent="0.25">
      <c r="A109" s="6">
        <v>85</v>
      </c>
      <c r="B109" t="s">
        <v>100</v>
      </c>
      <c r="C109" s="12">
        <v>0.32400000000000001</v>
      </c>
      <c r="D109" s="12">
        <v>0.32300000000000001</v>
      </c>
      <c r="F109" s="22">
        <f t="shared" si="9"/>
        <v>0.32350000000000001</v>
      </c>
      <c r="G109" s="23">
        <f t="shared" si="10"/>
        <v>0.28750000000000003</v>
      </c>
      <c r="H109" s="15">
        <f t="shared" si="11"/>
        <v>1.4363938053097349</v>
      </c>
      <c r="I109" s="24">
        <f t="shared" si="12"/>
        <v>2.8727876106194699</v>
      </c>
    </row>
    <row r="110" spans="1:9" x14ac:dyDescent="0.25">
      <c r="A110" s="6">
        <v>86</v>
      </c>
      <c r="B110" t="s">
        <v>101</v>
      </c>
      <c r="C110" s="12">
        <v>0.248</v>
      </c>
      <c r="D110" s="12">
        <v>0.25</v>
      </c>
      <c r="F110" s="22">
        <f t="shared" si="9"/>
        <v>0.249</v>
      </c>
      <c r="G110" s="23">
        <f t="shared" si="10"/>
        <v>0.21299999999999999</v>
      </c>
      <c r="H110" s="15">
        <f t="shared" si="11"/>
        <v>1.0243362831858407</v>
      </c>
      <c r="I110" s="24">
        <f t="shared" si="12"/>
        <v>2.0486725663716814</v>
      </c>
    </row>
    <row r="111" spans="1:9" x14ac:dyDescent="0.25">
      <c r="A111" s="6">
        <v>87</v>
      </c>
      <c r="B111" t="s">
        <v>102</v>
      </c>
      <c r="C111" s="12">
        <v>0.311</v>
      </c>
      <c r="D111" s="12">
        <v>0.33100000000000002</v>
      </c>
      <c r="F111" s="22">
        <f t="shared" si="9"/>
        <v>0.32100000000000001</v>
      </c>
      <c r="G111" s="23">
        <f t="shared" si="10"/>
        <v>0.28500000000000003</v>
      </c>
      <c r="H111" s="15">
        <f t="shared" si="11"/>
        <v>1.4225663716814163</v>
      </c>
      <c r="I111" s="24">
        <f t="shared" si="12"/>
        <v>2.8451327433628326</v>
      </c>
    </row>
    <row r="112" spans="1:9" x14ac:dyDescent="0.25">
      <c r="A112" s="6">
        <v>88</v>
      </c>
      <c r="B112" t="s">
        <v>103</v>
      </c>
      <c r="C112" s="12">
        <v>0.318</v>
      </c>
      <c r="D112" s="12">
        <v>0.32600000000000001</v>
      </c>
      <c r="F112" s="22">
        <f t="shared" si="9"/>
        <v>0.32200000000000001</v>
      </c>
      <c r="G112" s="23">
        <f t="shared" si="10"/>
        <v>0.28600000000000003</v>
      </c>
      <c r="H112" s="15">
        <f t="shared" si="11"/>
        <v>1.4280973451327437</v>
      </c>
      <c r="I112" s="24">
        <f t="shared" si="12"/>
        <v>2.8561946902654873</v>
      </c>
    </row>
    <row r="113" spans="1:9" x14ac:dyDescent="0.25">
      <c r="A113" s="6">
        <v>89</v>
      </c>
      <c r="B113" t="s">
        <v>104</v>
      </c>
      <c r="C113" s="12">
        <v>0.10299999999999999</v>
      </c>
      <c r="D113" s="12">
        <v>0.105</v>
      </c>
      <c r="F113" s="22">
        <f t="shared" si="9"/>
        <v>0.104</v>
      </c>
      <c r="G113" s="23">
        <f t="shared" si="10"/>
        <v>6.8000000000000005E-2</v>
      </c>
      <c r="H113" s="15">
        <f t="shared" si="11"/>
        <v>0.22234513274336287</v>
      </c>
      <c r="I113" s="24">
        <f t="shared" si="12"/>
        <v>0.44469026548672574</v>
      </c>
    </row>
    <row r="114" spans="1:9" x14ac:dyDescent="0.25">
      <c r="A114" s="6">
        <v>90</v>
      </c>
      <c r="B114" t="s">
        <v>105</v>
      </c>
      <c r="C114" s="12">
        <v>9.9999999999999992E-2</v>
      </c>
      <c r="D114" s="12">
        <v>9.2999999999999999E-2</v>
      </c>
      <c r="F114" s="22">
        <f t="shared" si="9"/>
        <v>9.6500000000000002E-2</v>
      </c>
      <c r="G114" s="23">
        <f t="shared" si="10"/>
        <v>6.0500000000000005E-2</v>
      </c>
      <c r="H114" s="15">
        <f t="shared" si="11"/>
        <v>0.18086283185840712</v>
      </c>
      <c r="I114" s="24">
        <f t="shared" si="12"/>
        <v>0.36172566371681425</v>
      </c>
    </row>
    <row r="115" spans="1:9" x14ac:dyDescent="0.25">
      <c r="A115" s="6">
        <v>91</v>
      </c>
      <c r="B115" t="s">
        <v>106</v>
      </c>
      <c r="C115" s="12">
        <v>9.2000000000000012E-2</v>
      </c>
      <c r="D115" s="12">
        <v>9.1000000000000011E-2</v>
      </c>
      <c r="F115" s="22">
        <f t="shared" si="9"/>
        <v>9.1500000000000012E-2</v>
      </c>
      <c r="G115" s="23">
        <f t="shared" si="10"/>
        <v>5.5500000000000015E-2</v>
      </c>
      <c r="H115" s="15">
        <f t="shared" si="11"/>
        <v>0.15320796460177002</v>
      </c>
      <c r="I115" s="24">
        <f t="shared" si="12"/>
        <v>0.30641592920354005</v>
      </c>
    </row>
    <row r="116" spans="1:9" x14ac:dyDescent="0.25">
      <c r="A116" s="6">
        <v>92</v>
      </c>
      <c r="B116" t="s">
        <v>107</v>
      </c>
      <c r="C116" s="12">
        <v>9.2000000000000012E-2</v>
      </c>
      <c r="D116" s="12">
        <v>9.4000000000000014E-2</v>
      </c>
      <c r="F116" s="22">
        <f t="shared" si="9"/>
        <v>9.3000000000000013E-2</v>
      </c>
      <c r="G116" s="23">
        <f t="shared" si="10"/>
        <v>5.7000000000000016E-2</v>
      </c>
      <c r="H116" s="15">
        <f t="shared" si="11"/>
        <v>0.16150442477876117</v>
      </c>
      <c r="I116" s="24">
        <f t="shared" si="12"/>
        <v>0.32300884955752235</v>
      </c>
    </row>
    <row r="117" spans="1:9" x14ac:dyDescent="0.25">
      <c r="A117" s="6">
        <v>93</v>
      </c>
      <c r="B117" t="s">
        <v>108</v>
      </c>
      <c r="C117" s="12">
        <v>0.106</v>
      </c>
      <c r="D117" s="12">
        <v>0.105</v>
      </c>
      <c r="F117" s="22">
        <f t="shared" si="9"/>
        <v>0.1055</v>
      </c>
      <c r="G117" s="23">
        <f t="shared" si="10"/>
        <v>6.9500000000000006E-2</v>
      </c>
      <c r="H117" s="15">
        <f t="shared" si="11"/>
        <v>0.23064159292035405</v>
      </c>
      <c r="I117" s="24">
        <f t="shared" si="12"/>
        <v>0.4612831858407081</v>
      </c>
    </row>
    <row r="118" spans="1:9" x14ac:dyDescent="0.25">
      <c r="A118" s="6">
        <v>94</v>
      </c>
      <c r="B118" t="s">
        <v>109</v>
      </c>
      <c r="C118" s="12">
        <v>0.104</v>
      </c>
      <c r="D118" s="12">
        <v>0.10099999999999998</v>
      </c>
      <c r="F118" s="22">
        <f t="shared" si="9"/>
        <v>0.10249999999999998</v>
      </c>
      <c r="G118" s="23">
        <f t="shared" si="10"/>
        <v>6.6499999999999976E-2</v>
      </c>
      <c r="H118" s="15">
        <f t="shared" si="11"/>
        <v>0.21404867256637158</v>
      </c>
      <c r="I118" s="24">
        <f t="shared" si="12"/>
        <v>0.42809734513274317</v>
      </c>
    </row>
    <row r="119" spans="1:9" x14ac:dyDescent="0.25">
      <c r="A119" s="6">
        <v>95</v>
      </c>
      <c r="B119" t="s">
        <v>110</v>
      </c>
      <c r="C119" s="12">
        <v>8.7000000000000008E-2</v>
      </c>
      <c r="D119" s="12">
        <v>9.7000000000000003E-2</v>
      </c>
      <c r="F119" s="22">
        <f t="shared" si="9"/>
        <v>9.1999999999999998E-2</v>
      </c>
      <c r="G119" s="23">
        <f t="shared" si="10"/>
        <v>5.6000000000000001E-2</v>
      </c>
      <c r="H119" s="15">
        <f t="shared" si="11"/>
        <v>0.15597345132743365</v>
      </c>
      <c r="I119" s="24">
        <f t="shared" si="12"/>
        <v>0.3119469026548673</v>
      </c>
    </row>
    <row r="120" spans="1:9" x14ac:dyDescent="0.25">
      <c r="A120" s="6">
        <v>96</v>
      </c>
      <c r="B120" t="s">
        <v>111</v>
      </c>
      <c r="C120" s="12">
        <v>0.105</v>
      </c>
      <c r="D120" s="12">
        <v>9.7000000000000017E-2</v>
      </c>
      <c r="F120" s="22">
        <f t="shared" si="9"/>
        <v>0.10100000000000001</v>
      </c>
      <c r="G120" s="23">
        <f t="shared" si="10"/>
        <v>6.5000000000000002E-2</v>
      </c>
      <c r="H120" s="15">
        <f t="shared" si="11"/>
        <v>0.20575221238938057</v>
      </c>
      <c r="I120" s="24">
        <f t="shared" si="12"/>
        <v>0.41150442477876115</v>
      </c>
    </row>
    <row r="121" spans="1:9" x14ac:dyDescent="0.25">
      <c r="A121" s="6">
        <v>97</v>
      </c>
      <c r="B121" t="s">
        <v>112</v>
      </c>
      <c r="C121" s="12">
        <v>0.15200000000000002</v>
      </c>
      <c r="D121" s="12">
        <v>0.14600000000000002</v>
      </c>
      <c r="F121" s="22">
        <f t="shared" si="9"/>
        <v>0.14900000000000002</v>
      </c>
      <c r="G121" s="23">
        <f t="shared" si="10"/>
        <v>0.11300000000000002</v>
      </c>
      <c r="H121" s="15">
        <f t="shared" si="11"/>
        <v>0.47123893805309752</v>
      </c>
      <c r="I121" s="24">
        <f t="shared" si="12"/>
        <v>0.94247787610619504</v>
      </c>
    </row>
    <row r="122" spans="1:9" x14ac:dyDescent="0.25">
      <c r="A122" s="6">
        <v>98</v>
      </c>
      <c r="B122" t="s">
        <v>113</v>
      </c>
      <c r="C122" s="12">
        <v>0.13499999999999998</v>
      </c>
      <c r="D122" s="12">
        <v>0.13600000000000001</v>
      </c>
      <c r="F122" s="22">
        <f t="shared" si="9"/>
        <v>0.13550000000000001</v>
      </c>
      <c r="G122" s="23">
        <f t="shared" si="10"/>
        <v>9.9500000000000005E-2</v>
      </c>
      <c r="H122" s="15">
        <f t="shared" si="11"/>
        <v>0.39657079646017707</v>
      </c>
      <c r="I122" s="24">
        <f t="shared" si="12"/>
        <v>0.79314159292035413</v>
      </c>
    </row>
    <row r="123" spans="1:9" x14ac:dyDescent="0.25">
      <c r="A123" s="6">
        <v>99</v>
      </c>
      <c r="B123" t="s">
        <v>114</v>
      </c>
      <c r="C123" s="12">
        <v>0.14100000000000001</v>
      </c>
      <c r="D123" s="12">
        <v>0.14300000000000002</v>
      </c>
      <c r="F123" s="22">
        <f t="shared" si="9"/>
        <v>0.14200000000000002</v>
      </c>
      <c r="G123" s="23">
        <f t="shared" si="10"/>
        <v>0.10600000000000001</v>
      </c>
      <c r="H123" s="15">
        <f t="shared" si="11"/>
        <v>0.43252212389380545</v>
      </c>
      <c r="I123" s="24">
        <f t="shared" si="12"/>
        <v>0.86504424778761091</v>
      </c>
    </row>
    <row r="124" spans="1:9" x14ac:dyDescent="0.25">
      <c r="A124" s="6">
        <v>100</v>
      </c>
      <c r="B124" t="s">
        <v>115</v>
      </c>
      <c r="C124" s="12">
        <v>0.12200000000000001</v>
      </c>
      <c r="D124" s="12">
        <v>0.11900000000000001</v>
      </c>
      <c r="F124" s="22">
        <f t="shared" si="9"/>
        <v>0.12050000000000001</v>
      </c>
      <c r="G124" s="23">
        <f t="shared" si="10"/>
        <v>8.450000000000002E-2</v>
      </c>
      <c r="H124" s="15">
        <f t="shared" si="11"/>
        <v>0.31360619469026563</v>
      </c>
      <c r="I124" s="24">
        <f t="shared" si="12"/>
        <v>0.62721238938053125</v>
      </c>
    </row>
    <row r="125" spans="1:9" x14ac:dyDescent="0.25">
      <c r="A125" s="6">
        <v>101</v>
      </c>
      <c r="B125" t="s">
        <v>116</v>
      </c>
      <c r="C125" s="12">
        <v>8.3999999999999991E-2</v>
      </c>
      <c r="D125" s="12">
        <v>7.4999999999999997E-2</v>
      </c>
      <c r="F125" s="22">
        <f t="shared" si="9"/>
        <v>7.9499999999999987E-2</v>
      </c>
      <c r="G125" s="23">
        <f t="shared" si="10"/>
        <v>4.349999999999999E-2</v>
      </c>
      <c r="H125" s="15">
        <f t="shared" si="11"/>
        <v>8.6836283185840663E-2</v>
      </c>
      <c r="I125" s="24">
        <f t="shared" si="12"/>
        <v>0.17367256637168133</v>
      </c>
    </row>
    <row r="126" spans="1:9" x14ac:dyDescent="0.25">
      <c r="A126" s="6">
        <v>102</v>
      </c>
      <c r="B126" t="s">
        <v>117</v>
      </c>
      <c r="C126" s="12">
        <v>9.0000000000000011E-2</v>
      </c>
      <c r="D126" s="12">
        <v>8.4000000000000005E-2</v>
      </c>
      <c r="F126" s="22">
        <f t="shared" si="9"/>
        <v>8.7000000000000008E-2</v>
      </c>
      <c r="G126" s="23">
        <f t="shared" si="10"/>
        <v>5.1000000000000011E-2</v>
      </c>
      <c r="H126" s="15">
        <f t="shared" si="11"/>
        <v>0.12831858407079655</v>
      </c>
      <c r="I126" s="24">
        <f t="shared" si="12"/>
        <v>0.2566371681415931</v>
      </c>
    </row>
    <row r="127" spans="1:9" x14ac:dyDescent="0.25">
      <c r="A127" s="6">
        <v>103</v>
      </c>
      <c r="B127" t="s">
        <v>118</v>
      </c>
      <c r="C127" s="12">
        <v>8.1000000000000003E-2</v>
      </c>
      <c r="D127" s="12">
        <v>0.08</v>
      </c>
      <c r="F127" s="22">
        <f t="shared" si="9"/>
        <v>8.0500000000000002E-2</v>
      </c>
      <c r="G127" s="23">
        <f t="shared" si="10"/>
        <v>4.4500000000000005E-2</v>
      </c>
      <c r="H127" s="15">
        <f t="shared" si="11"/>
        <v>9.2367256637168188E-2</v>
      </c>
      <c r="I127" s="24">
        <f t="shared" si="12"/>
        <v>0.18473451327433638</v>
      </c>
    </row>
    <row r="128" spans="1:9" x14ac:dyDescent="0.25">
      <c r="A128" s="6">
        <v>104</v>
      </c>
      <c r="B128" t="s">
        <v>119</v>
      </c>
      <c r="C128" s="12">
        <v>9.1999999999999998E-2</v>
      </c>
      <c r="D128" s="12">
        <v>8.7000000000000008E-2</v>
      </c>
      <c r="F128" s="22">
        <f t="shared" si="9"/>
        <v>8.9499999999999996E-2</v>
      </c>
      <c r="G128" s="23">
        <f t="shared" si="10"/>
        <v>5.3499999999999999E-2</v>
      </c>
      <c r="H128" s="15">
        <f t="shared" si="11"/>
        <v>0.14214601769911506</v>
      </c>
      <c r="I128" s="24">
        <f t="shared" si="12"/>
        <v>0.28429203539823011</v>
      </c>
    </row>
    <row r="129" spans="1:9" x14ac:dyDescent="0.25">
      <c r="A129" s="6">
        <v>105</v>
      </c>
      <c r="B129" t="s">
        <v>120</v>
      </c>
      <c r="C129" s="12">
        <v>0.11900000000000001</v>
      </c>
      <c r="D129" s="12">
        <v>0.12100000000000001</v>
      </c>
      <c r="F129" s="22">
        <f t="shared" si="9"/>
        <v>0.12000000000000001</v>
      </c>
      <c r="G129" s="23">
        <f t="shared" si="10"/>
        <v>8.4000000000000019E-2</v>
      </c>
      <c r="H129" s="15">
        <f t="shared" si="11"/>
        <v>0.31084070796460189</v>
      </c>
      <c r="I129" s="24">
        <f t="shared" si="12"/>
        <v>0.62168141592920378</v>
      </c>
    </row>
    <row r="130" spans="1:9" x14ac:dyDescent="0.25">
      <c r="A130" s="6">
        <v>106</v>
      </c>
      <c r="B130" t="s">
        <v>121</v>
      </c>
      <c r="C130" s="12">
        <v>0.14800000000000002</v>
      </c>
      <c r="D130" s="12">
        <v>0.15100000000000002</v>
      </c>
      <c r="F130" s="22">
        <f t="shared" si="9"/>
        <v>0.14950000000000002</v>
      </c>
      <c r="G130" s="23">
        <f t="shared" si="10"/>
        <v>0.11350000000000002</v>
      </c>
      <c r="H130" s="15">
        <f t="shared" si="11"/>
        <v>0.47400442477876126</v>
      </c>
      <c r="I130" s="24">
        <f t="shared" si="12"/>
        <v>0.94800884955752251</v>
      </c>
    </row>
    <row r="131" spans="1:9" x14ac:dyDescent="0.25">
      <c r="A131" s="6">
        <v>107</v>
      </c>
      <c r="B131" t="s">
        <v>122</v>
      </c>
      <c r="C131" s="12">
        <v>0.113</v>
      </c>
      <c r="D131" s="12">
        <v>0.115</v>
      </c>
      <c r="F131" s="22">
        <f t="shared" si="9"/>
        <v>0.114</v>
      </c>
      <c r="G131" s="23">
        <f t="shared" si="10"/>
        <v>7.8000000000000014E-2</v>
      </c>
      <c r="H131" s="15">
        <f t="shared" si="11"/>
        <v>0.27765486725663729</v>
      </c>
      <c r="I131" s="24">
        <f t="shared" si="12"/>
        <v>0.55530973451327459</v>
      </c>
    </row>
    <row r="132" spans="1:9" x14ac:dyDescent="0.25">
      <c r="A132" s="6">
        <v>108</v>
      </c>
      <c r="B132" t="s">
        <v>123</v>
      </c>
      <c r="C132" s="12">
        <v>0.15900000000000003</v>
      </c>
      <c r="D132" s="12">
        <v>0.16399999999999998</v>
      </c>
      <c r="F132" s="22">
        <f t="shared" si="9"/>
        <v>0.1615</v>
      </c>
      <c r="G132" s="23">
        <f t="shared" si="10"/>
        <v>0.1255</v>
      </c>
      <c r="H132" s="15">
        <f t="shared" si="11"/>
        <v>0.54037610619469034</v>
      </c>
      <c r="I132" s="24">
        <f t="shared" si="12"/>
        <v>1.0807522123893807</v>
      </c>
    </row>
    <row r="133" spans="1:9" x14ac:dyDescent="0.25">
      <c r="A133" s="6">
        <v>109</v>
      </c>
      <c r="B133" t="s">
        <v>124</v>
      </c>
      <c r="C133" s="12">
        <v>0.16199999999999998</v>
      </c>
      <c r="D133" s="12">
        <v>0.15500000000000003</v>
      </c>
      <c r="F133" s="22">
        <f t="shared" si="9"/>
        <v>0.1585</v>
      </c>
      <c r="G133" s="23">
        <f t="shared" si="10"/>
        <v>0.1225</v>
      </c>
      <c r="H133" s="15">
        <f t="shared" si="11"/>
        <v>0.52378318584070804</v>
      </c>
      <c r="I133" s="24">
        <f t="shared" si="12"/>
        <v>1.0475663716814161</v>
      </c>
    </row>
    <row r="134" spans="1:9" x14ac:dyDescent="0.25">
      <c r="A134" s="6">
        <v>110</v>
      </c>
      <c r="B134" t="s">
        <v>125</v>
      </c>
      <c r="C134" s="12">
        <v>0.15700000000000003</v>
      </c>
      <c r="D134" s="12">
        <v>0.16599999999999998</v>
      </c>
      <c r="F134" s="22">
        <f t="shared" si="9"/>
        <v>0.1615</v>
      </c>
      <c r="G134" s="23">
        <f t="shared" si="10"/>
        <v>0.1255</v>
      </c>
      <c r="H134" s="15">
        <f t="shared" si="11"/>
        <v>0.54037610619469034</v>
      </c>
      <c r="I134" s="24">
        <f t="shared" si="12"/>
        <v>1.0807522123893807</v>
      </c>
    </row>
    <row r="135" spans="1:9" x14ac:dyDescent="0.25">
      <c r="A135" s="6">
        <v>111</v>
      </c>
      <c r="B135" t="s">
        <v>126</v>
      </c>
      <c r="C135" s="12">
        <v>0.16599999999999998</v>
      </c>
      <c r="D135" s="12">
        <v>0.15300000000000002</v>
      </c>
      <c r="F135" s="22">
        <f t="shared" si="9"/>
        <v>0.1595</v>
      </c>
      <c r="G135" s="23">
        <f t="shared" si="10"/>
        <v>0.1235</v>
      </c>
      <c r="H135" s="15">
        <f t="shared" si="11"/>
        <v>0.52931415929203551</v>
      </c>
      <c r="I135" s="24">
        <f t="shared" si="12"/>
        <v>1.058628318584071</v>
      </c>
    </row>
    <row r="136" spans="1:9" x14ac:dyDescent="0.25">
      <c r="A136" s="6">
        <v>112</v>
      </c>
      <c r="B136" t="s">
        <v>127</v>
      </c>
      <c r="C136" s="12">
        <v>0.16999999999999998</v>
      </c>
      <c r="D136" s="12">
        <v>0.17599999999999999</v>
      </c>
      <c r="F136" s="22">
        <f t="shared" si="9"/>
        <v>0.17299999999999999</v>
      </c>
      <c r="G136" s="23">
        <f t="shared" si="10"/>
        <v>0.13699999999999998</v>
      </c>
      <c r="H136" s="15">
        <f t="shared" si="11"/>
        <v>0.60398230088495575</v>
      </c>
      <c r="I136" s="24">
        <f t="shared" si="12"/>
        <v>1.2079646017699115</v>
      </c>
    </row>
    <row r="137" spans="1:9" x14ac:dyDescent="0.25">
      <c r="A137" s="6">
        <v>113</v>
      </c>
      <c r="B137" t="s">
        <v>128</v>
      </c>
      <c r="C137" s="12">
        <v>0.11499999999999999</v>
      </c>
      <c r="D137" s="12">
        <v>0.10399999999999998</v>
      </c>
      <c r="F137" s="22">
        <f t="shared" si="9"/>
        <v>0.10949999999999999</v>
      </c>
      <c r="G137" s="23">
        <f t="shared" si="10"/>
        <v>7.3499999999999982E-2</v>
      </c>
      <c r="H137" s="15">
        <f t="shared" si="11"/>
        <v>0.25276548672566362</v>
      </c>
      <c r="I137" s="24">
        <f t="shared" si="12"/>
        <v>0.50553097345132725</v>
      </c>
    </row>
    <row r="138" spans="1:9" x14ac:dyDescent="0.25">
      <c r="A138" s="6">
        <v>114</v>
      </c>
      <c r="B138" t="s">
        <v>129</v>
      </c>
      <c r="C138" s="12">
        <v>0.108</v>
      </c>
      <c r="D138" s="12">
        <v>9.8000000000000004E-2</v>
      </c>
      <c r="F138" s="22">
        <f t="shared" si="9"/>
        <v>0.10300000000000001</v>
      </c>
      <c r="G138" s="23">
        <f t="shared" si="10"/>
        <v>6.7000000000000004E-2</v>
      </c>
      <c r="H138" s="15">
        <f t="shared" si="11"/>
        <v>0.21681415929203543</v>
      </c>
      <c r="I138" s="24">
        <f t="shared" si="12"/>
        <v>0.43362831858407086</v>
      </c>
    </row>
    <row r="139" spans="1:9" x14ac:dyDescent="0.25">
      <c r="A139" s="6">
        <v>115</v>
      </c>
      <c r="B139" t="s">
        <v>130</v>
      </c>
      <c r="C139" s="12">
        <v>0.11799999999999999</v>
      </c>
      <c r="D139" s="12">
        <v>0.10099999999999998</v>
      </c>
      <c r="F139" s="22">
        <f t="shared" si="9"/>
        <v>0.10949999999999999</v>
      </c>
      <c r="G139" s="23">
        <f t="shared" si="10"/>
        <v>7.3499999999999982E-2</v>
      </c>
      <c r="H139" s="15">
        <f t="shared" si="11"/>
        <v>0.25276548672566362</v>
      </c>
      <c r="I139" s="24">
        <f t="shared" si="12"/>
        <v>0.50553097345132725</v>
      </c>
    </row>
    <row r="140" spans="1:9" x14ac:dyDescent="0.25">
      <c r="A140" s="6">
        <v>116</v>
      </c>
      <c r="B140" t="s">
        <v>131</v>
      </c>
      <c r="C140" s="12">
        <v>9.9999999999999978E-2</v>
      </c>
      <c r="D140" s="12">
        <v>9.2999999999999999E-2</v>
      </c>
      <c r="F140" s="22">
        <f t="shared" si="9"/>
        <v>9.6499999999999989E-2</v>
      </c>
      <c r="G140" s="23">
        <f t="shared" si="10"/>
        <v>6.0499999999999991E-2</v>
      </c>
      <c r="H140" s="15">
        <f t="shared" si="11"/>
        <v>0.18086283185840704</v>
      </c>
      <c r="I140" s="24">
        <f t="shared" si="12"/>
        <v>0.36172566371681408</v>
      </c>
    </row>
    <row r="141" spans="1:9" x14ac:dyDescent="0.25">
      <c r="A141" s="6">
        <v>117</v>
      </c>
      <c r="B141" t="s">
        <v>132</v>
      </c>
      <c r="C141" s="12">
        <v>8.6000000000000007E-2</v>
      </c>
      <c r="D141" s="12">
        <v>8.6999999999999994E-2</v>
      </c>
      <c r="F141" s="22">
        <f t="shared" si="9"/>
        <v>8.6499999999999994E-2</v>
      </c>
      <c r="G141" s="23">
        <f t="shared" si="10"/>
        <v>5.0499999999999996E-2</v>
      </c>
      <c r="H141" s="15">
        <f t="shared" si="11"/>
        <v>0.12555309734513273</v>
      </c>
      <c r="I141" s="24">
        <f t="shared" si="12"/>
        <v>0.25110619469026546</v>
      </c>
    </row>
    <row r="142" spans="1:9" x14ac:dyDescent="0.25">
      <c r="A142" s="6">
        <v>118</v>
      </c>
      <c r="B142" t="s">
        <v>133</v>
      </c>
      <c r="C142" s="12">
        <v>8.6000000000000007E-2</v>
      </c>
      <c r="D142" s="12">
        <v>8.299999999999999E-2</v>
      </c>
      <c r="F142" s="22">
        <f t="shared" si="9"/>
        <v>8.4499999999999992E-2</v>
      </c>
      <c r="G142" s="23">
        <f t="shared" si="10"/>
        <v>4.8499999999999995E-2</v>
      </c>
      <c r="H142" s="15">
        <f t="shared" si="11"/>
        <v>0.11449115044247786</v>
      </c>
      <c r="I142" s="24">
        <f t="shared" si="12"/>
        <v>0.22898230088495572</v>
      </c>
    </row>
    <row r="143" spans="1:9" x14ac:dyDescent="0.25">
      <c r="A143" s="6">
        <v>119</v>
      </c>
      <c r="B143" t="s">
        <v>134</v>
      </c>
      <c r="C143" s="12">
        <v>8.4000000000000005E-2</v>
      </c>
      <c r="D143" s="12">
        <v>8.0999999999999989E-2</v>
      </c>
      <c r="F143" s="22">
        <f t="shared" si="9"/>
        <v>8.249999999999999E-2</v>
      </c>
      <c r="G143" s="23">
        <f t="shared" si="10"/>
        <v>4.6499999999999993E-2</v>
      </c>
      <c r="H143" s="15">
        <f t="shared" si="11"/>
        <v>0.10342920353982299</v>
      </c>
      <c r="I143" s="24">
        <f t="shared" si="12"/>
        <v>0.20685840707964598</v>
      </c>
    </row>
    <row r="144" spans="1:9" x14ac:dyDescent="0.25">
      <c r="A144" s="6">
        <v>120</v>
      </c>
      <c r="B144" t="s">
        <v>135</v>
      </c>
      <c r="C144" s="12">
        <v>8.299999999999999E-2</v>
      </c>
      <c r="D144" s="12">
        <v>8.3999999999999991E-2</v>
      </c>
      <c r="F144" s="22">
        <f t="shared" si="9"/>
        <v>8.3499999999999991E-2</v>
      </c>
      <c r="G144" s="23">
        <f t="shared" si="10"/>
        <v>4.7499999999999994E-2</v>
      </c>
      <c r="H144" s="15">
        <f t="shared" si="11"/>
        <v>0.10896017699115042</v>
      </c>
      <c r="I144" s="24">
        <f t="shared" si="12"/>
        <v>0.21792035398230084</v>
      </c>
    </row>
  </sheetData>
  <mergeCells count="8">
    <mergeCell ref="A23:I23"/>
    <mergeCell ref="C24:D24"/>
    <mergeCell ref="F2:G2"/>
    <mergeCell ref="K2:P2"/>
    <mergeCell ref="F3:G3"/>
    <mergeCell ref="F4:G4"/>
    <mergeCell ref="F8:G8"/>
    <mergeCell ref="D13:E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6522-147C-4BAA-B50A-D333A7466EDB}">
  <dimension ref="C2:AC88"/>
  <sheetViews>
    <sheetView workbookViewId="0"/>
  </sheetViews>
  <sheetFormatPr defaultRowHeight="15" x14ac:dyDescent="0.25"/>
  <cols>
    <col min="18" max="18" width="14.7109375" customWidth="1"/>
    <col min="26" max="26" width="12.5703125" customWidth="1"/>
  </cols>
  <sheetData>
    <row r="2" spans="3:29" ht="26.25" x14ac:dyDescent="0.4">
      <c r="C2" s="55" t="s">
        <v>136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Q2" s="55" t="s">
        <v>137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spans="3:29" x14ac:dyDescent="0.25">
      <c r="C4" s="26"/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7">
        <v>6</v>
      </c>
      <c r="J4" s="27">
        <v>7</v>
      </c>
      <c r="K4" s="27">
        <v>8</v>
      </c>
      <c r="L4" s="27">
        <v>9</v>
      </c>
      <c r="M4" s="27">
        <v>10</v>
      </c>
      <c r="N4" s="27">
        <v>11</v>
      </c>
      <c r="O4" s="27">
        <v>12</v>
      </c>
      <c r="Q4" s="26"/>
      <c r="R4" s="27">
        <v>1</v>
      </c>
      <c r="S4" s="27">
        <v>2</v>
      </c>
      <c r="T4" s="27">
        <v>3</v>
      </c>
      <c r="U4" s="27">
        <v>4</v>
      </c>
      <c r="V4" s="27">
        <v>5</v>
      </c>
      <c r="W4" s="27">
        <v>6</v>
      </c>
      <c r="X4" s="27">
        <v>7</v>
      </c>
      <c r="Y4" s="27">
        <v>8</v>
      </c>
      <c r="Z4" s="27">
        <v>9</v>
      </c>
      <c r="AA4" s="27">
        <v>10</v>
      </c>
      <c r="AB4" s="27">
        <v>11</v>
      </c>
      <c r="AC4" s="27">
        <v>12</v>
      </c>
    </row>
    <row r="5" spans="3:29" x14ac:dyDescent="0.25">
      <c r="C5" s="56" t="s">
        <v>138</v>
      </c>
      <c r="D5" s="28">
        <v>2.3530000000000002</v>
      </c>
      <c r="E5" s="28">
        <v>2.0019999999999998</v>
      </c>
      <c r="F5" s="28">
        <v>0.153</v>
      </c>
      <c r="G5" s="28">
        <v>0.222</v>
      </c>
      <c r="H5" s="28">
        <v>0.23100000000000001</v>
      </c>
      <c r="I5" s="28">
        <v>0.185</v>
      </c>
      <c r="J5" s="28">
        <v>0.222</v>
      </c>
      <c r="K5" s="28">
        <v>0.21099999999999999</v>
      </c>
      <c r="L5" s="28">
        <v>0.53200000000000003</v>
      </c>
      <c r="M5" s="28">
        <v>0.57599999999999996</v>
      </c>
      <c r="N5" s="28">
        <v>0.16</v>
      </c>
      <c r="O5" s="28">
        <v>0.16900000000000001</v>
      </c>
      <c r="P5" s="29">
        <v>450</v>
      </c>
      <c r="Q5" s="30" t="s">
        <v>138</v>
      </c>
      <c r="R5" s="31">
        <f>D5-D6</f>
        <v>2.2850000000000001</v>
      </c>
      <c r="S5" s="31">
        <f>E5-E6</f>
        <v>1.9369999999999998</v>
      </c>
      <c r="T5">
        <f>F5-F6</f>
        <v>0.11</v>
      </c>
      <c r="U5">
        <f>G5-G6</f>
        <v>0.17699999999999999</v>
      </c>
      <c r="V5">
        <f t="shared" ref="V5:AC5" si="0">H5-H6</f>
        <v>0.186</v>
      </c>
      <c r="W5">
        <f t="shared" si="0"/>
        <v>0.14000000000000001</v>
      </c>
      <c r="X5">
        <f t="shared" si="0"/>
        <v>0.17599999999999999</v>
      </c>
      <c r="Y5">
        <f t="shared" si="0"/>
        <v>0.16599999999999998</v>
      </c>
      <c r="Z5">
        <f t="shared" si="0"/>
        <v>0.48400000000000004</v>
      </c>
      <c r="AA5">
        <f t="shared" si="0"/>
        <v>0.52699999999999991</v>
      </c>
      <c r="AB5">
        <f t="shared" si="0"/>
        <v>0.115</v>
      </c>
      <c r="AC5">
        <f t="shared" si="0"/>
        <v>0.12300000000000001</v>
      </c>
    </row>
    <row r="6" spans="3:29" x14ac:dyDescent="0.25">
      <c r="C6" s="57"/>
      <c r="D6" s="32">
        <v>6.8000000000000005E-2</v>
      </c>
      <c r="E6" s="32">
        <v>6.5000000000000002E-2</v>
      </c>
      <c r="F6" s="32">
        <v>4.2999999999999997E-2</v>
      </c>
      <c r="G6" s="32">
        <v>4.4999999999999998E-2</v>
      </c>
      <c r="H6" s="32">
        <v>4.4999999999999998E-2</v>
      </c>
      <c r="I6" s="32">
        <v>4.4999999999999998E-2</v>
      </c>
      <c r="J6" s="32">
        <v>4.5999999999999999E-2</v>
      </c>
      <c r="K6" s="32">
        <v>4.4999999999999998E-2</v>
      </c>
      <c r="L6" s="32">
        <v>4.8000000000000001E-2</v>
      </c>
      <c r="M6" s="32">
        <v>4.9000000000000002E-2</v>
      </c>
      <c r="N6" s="32">
        <v>4.4999999999999998E-2</v>
      </c>
      <c r="O6" s="32">
        <v>4.5999999999999999E-2</v>
      </c>
      <c r="P6" s="29">
        <v>540</v>
      </c>
      <c r="Q6" s="30" t="s">
        <v>139</v>
      </c>
      <c r="R6" s="31">
        <f>D8-D9</f>
        <v>1.5610000000000002</v>
      </c>
      <c r="S6" s="31">
        <f t="shared" ref="S6:AC6" si="1">E8-E9</f>
        <v>1.627</v>
      </c>
      <c r="T6">
        <f t="shared" si="1"/>
        <v>0.22100000000000003</v>
      </c>
      <c r="U6">
        <f t="shared" si="1"/>
        <v>0.23899999999999999</v>
      </c>
      <c r="V6">
        <f t="shared" si="1"/>
        <v>0.188</v>
      </c>
      <c r="W6">
        <f t="shared" si="1"/>
        <v>0.21000000000000002</v>
      </c>
      <c r="X6">
        <f t="shared" si="1"/>
        <v>0.14000000000000001</v>
      </c>
      <c r="Y6">
        <f t="shared" si="1"/>
        <v>0.20900000000000002</v>
      </c>
      <c r="Z6">
        <f t="shared" si="1"/>
        <v>0.55499999999999994</v>
      </c>
      <c r="AA6">
        <f t="shared" si="1"/>
        <v>0.55399999999999994</v>
      </c>
      <c r="AB6">
        <f t="shared" si="1"/>
        <v>8.7000000000000008E-2</v>
      </c>
      <c r="AC6">
        <f t="shared" si="1"/>
        <v>0.15000000000000002</v>
      </c>
    </row>
    <row r="7" spans="3:29" x14ac:dyDescent="0.25">
      <c r="C7" s="58"/>
      <c r="D7" s="33">
        <v>4.5999999999999999E-2</v>
      </c>
      <c r="E7" s="33">
        <v>4.5999999999999999E-2</v>
      </c>
      <c r="F7" s="33">
        <v>4.2000000000000003E-2</v>
      </c>
      <c r="G7" s="33">
        <v>4.2999999999999997E-2</v>
      </c>
      <c r="H7" s="33">
        <v>4.2999999999999997E-2</v>
      </c>
      <c r="I7" s="33">
        <v>4.2999999999999997E-2</v>
      </c>
      <c r="J7" s="33">
        <v>4.3999999999999997E-2</v>
      </c>
      <c r="K7" s="33">
        <v>4.2999999999999997E-2</v>
      </c>
      <c r="L7" s="33">
        <v>4.2999999999999997E-2</v>
      </c>
      <c r="M7" s="33">
        <v>4.3999999999999997E-2</v>
      </c>
      <c r="N7" s="33">
        <v>4.3999999999999997E-2</v>
      </c>
      <c r="O7" s="33">
        <v>4.4999999999999998E-2</v>
      </c>
      <c r="P7" s="29">
        <v>570</v>
      </c>
      <c r="Q7" s="30" t="s">
        <v>140</v>
      </c>
      <c r="R7" s="31">
        <f>D11-D12</f>
        <v>1.004</v>
      </c>
      <c r="S7" s="31">
        <f t="shared" ref="S7:AC7" si="2">E11-E12</f>
        <v>1.1059999999999999</v>
      </c>
      <c r="T7">
        <f t="shared" si="2"/>
        <v>0.2</v>
      </c>
      <c r="U7">
        <f t="shared" si="2"/>
        <v>0.22900000000000004</v>
      </c>
      <c r="V7">
        <f t="shared" si="2"/>
        <v>0.185</v>
      </c>
      <c r="W7">
        <f t="shared" si="2"/>
        <v>0.17899999999999999</v>
      </c>
      <c r="X7">
        <f t="shared" si="2"/>
        <v>0.188</v>
      </c>
      <c r="Y7">
        <f t="shared" si="2"/>
        <v>0.20500000000000002</v>
      </c>
      <c r="Z7">
        <f t="shared" si="2"/>
        <v>0.53099999999999992</v>
      </c>
      <c r="AA7">
        <f t="shared" si="2"/>
        <v>0.48600000000000004</v>
      </c>
      <c r="AB7">
        <f t="shared" si="2"/>
        <v>0.14399999999999999</v>
      </c>
      <c r="AC7">
        <f t="shared" si="2"/>
        <v>0.15000000000000002</v>
      </c>
    </row>
    <row r="8" spans="3:29" x14ac:dyDescent="0.25">
      <c r="C8" s="56" t="s">
        <v>139</v>
      </c>
      <c r="D8" s="28">
        <v>1.6240000000000001</v>
      </c>
      <c r="E8" s="28">
        <v>1.6890000000000001</v>
      </c>
      <c r="F8" s="28">
        <v>0.26600000000000001</v>
      </c>
      <c r="G8" s="28">
        <v>0.28299999999999997</v>
      </c>
      <c r="H8" s="28">
        <v>0.23400000000000001</v>
      </c>
      <c r="I8" s="28">
        <v>0.255</v>
      </c>
      <c r="J8" s="28">
        <v>0.184</v>
      </c>
      <c r="K8" s="28">
        <v>0.252</v>
      </c>
      <c r="L8" s="28">
        <v>0.60499999999999998</v>
      </c>
      <c r="M8" s="28">
        <v>0.60399999999999998</v>
      </c>
      <c r="N8" s="28">
        <v>0.13</v>
      </c>
      <c r="O8" s="28">
        <v>0.19400000000000001</v>
      </c>
      <c r="P8" s="29">
        <v>450</v>
      </c>
      <c r="Q8" s="30" t="s">
        <v>141</v>
      </c>
      <c r="R8" s="31">
        <f>D14-D15</f>
        <v>0.78799999999999992</v>
      </c>
      <c r="S8" s="31">
        <f t="shared" ref="S8:AC8" si="3">E14-E15</f>
        <v>0.72799999999999998</v>
      </c>
      <c r="T8">
        <f t="shared" si="3"/>
        <v>0.21300000000000002</v>
      </c>
      <c r="U8">
        <f t="shared" si="3"/>
        <v>0.23500000000000004</v>
      </c>
      <c r="V8">
        <f t="shared" si="3"/>
        <v>0.189</v>
      </c>
      <c r="W8">
        <f t="shared" si="3"/>
        <v>0.188</v>
      </c>
      <c r="X8">
        <f t="shared" si="3"/>
        <v>0.21800000000000003</v>
      </c>
      <c r="Y8">
        <f t="shared" si="3"/>
        <v>0.24</v>
      </c>
      <c r="Z8">
        <f t="shared" si="3"/>
        <v>0.49800000000000005</v>
      </c>
      <c r="AA8">
        <f t="shared" si="3"/>
        <v>0.48200000000000004</v>
      </c>
      <c r="AB8">
        <f t="shared" si="3"/>
        <v>0.16499999999999998</v>
      </c>
      <c r="AC8">
        <f t="shared" si="3"/>
        <v>0.15</v>
      </c>
    </row>
    <row r="9" spans="3:29" x14ac:dyDescent="0.25">
      <c r="C9" s="57"/>
      <c r="D9" s="32">
        <v>6.3E-2</v>
      </c>
      <c r="E9" s="32">
        <v>6.2E-2</v>
      </c>
      <c r="F9" s="32">
        <v>4.4999999999999998E-2</v>
      </c>
      <c r="G9" s="32">
        <v>4.3999999999999997E-2</v>
      </c>
      <c r="H9" s="32">
        <v>4.5999999999999999E-2</v>
      </c>
      <c r="I9" s="32">
        <v>4.4999999999999998E-2</v>
      </c>
      <c r="J9" s="32">
        <v>4.3999999999999997E-2</v>
      </c>
      <c r="K9" s="32">
        <v>4.2999999999999997E-2</v>
      </c>
      <c r="L9" s="32">
        <v>0.05</v>
      </c>
      <c r="M9" s="32">
        <v>0.05</v>
      </c>
      <c r="N9" s="32">
        <v>4.2999999999999997E-2</v>
      </c>
      <c r="O9" s="32">
        <v>4.3999999999999997E-2</v>
      </c>
      <c r="P9" s="29">
        <v>540</v>
      </c>
      <c r="Q9" s="30" t="s">
        <v>142</v>
      </c>
      <c r="R9" s="31">
        <f>D17-D18</f>
        <v>0.67199999999999993</v>
      </c>
      <c r="S9" s="31">
        <f t="shared" ref="S9:AC9" si="4">E17-E18</f>
        <v>0.63500000000000001</v>
      </c>
      <c r="T9">
        <f t="shared" si="4"/>
        <v>0.25900000000000001</v>
      </c>
      <c r="U9">
        <f t="shared" si="4"/>
        <v>0.28000000000000003</v>
      </c>
      <c r="V9">
        <f t="shared" si="4"/>
        <v>0.20200000000000001</v>
      </c>
      <c r="W9">
        <f t="shared" si="4"/>
        <v>0.193</v>
      </c>
      <c r="X9">
        <f t="shared" si="4"/>
        <v>0.20900000000000002</v>
      </c>
      <c r="Y9">
        <f t="shared" si="4"/>
        <v>0.19800000000000001</v>
      </c>
      <c r="Z9">
        <f t="shared" si="4"/>
        <v>0.16499999999999998</v>
      </c>
      <c r="AA9">
        <f t="shared" si="4"/>
        <v>0.15500000000000003</v>
      </c>
      <c r="AB9">
        <f t="shared" si="4"/>
        <v>0.183</v>
      </c>
      <c r="AC9">
        <f t="shared" si="4"/>
        <v>0.19500000000000001</v>
      </c>
    </row>
    <row r="10" spans="3:29" x14ac:dyDescent="0.25">
      <c r="C10" s="58"/>
      <c r="D10" s="33">
        <v>4.8000000000000001E-2</v>
      </c>
      <c r="E10" s="33">
        <v>4.5999999999999999E-2</v>
      </c>
      <c r="F10" s="33">
        <v>4.2999999999999997E-2</v>
      </c>
      <c r="G10" s="33">
        <v>4.2000000000000003E-2</v>
      </c>
      <c r="H10" s="33">
        <v>4.2999999999999997E-2</v>
      </c>
      <c r="I10" s="33">
        <v>4.2999999999999997E-2</v>
      </c>
      <c r="J10" s="33">
        <v>4.2000000000000003E-2</v>
      </c>
      <c r="K10" s="33">
        <v>4.1000000000000002E-2</v>
      </c>
      <c r="L10" s="33">
        <v>4.4999999999999998E-2</v>
      </c>
      <c r="M10" s="33">
        <v>4.3999999999999997E-2</v>
      </c>
      <c r="N10" s="33">
        <v>4.2000000000000003E-2</v>
      </c>
      <c r="O10" s="33">
        <v>4.2000000000000003E-2</v>
      </c>
      <c r="P10" s="29">
        <v>570</v>
      </c>
      <c r="Q10" s="30" t="s">
        <v>143</v>
      </c>
      <c r="R10" s="31">
        <f>D20-D21</f>
        <v>0.60899999999999999</v>
      </c>
      <c r="S10" s="31">
        <f t="shared" ref="S10:AC10" si="5">E20-E21</f>
        <v>0.59899999999999998</v>
      </c>
      <c r="T10">
        <f t="shared" si="5"/>
        <v>0.24199999999999999</v>
      </c>
      <c r="U10">
        <f t="shared" si="5"/>
        <v>0.28000000000000003</v>
      </c>
      <c r="V10">
        <f t="shared" si="5"/>
        <v>0.20500000000000002</v>
      </c>
      <c r="W10">
        <f t="shared" si="5"/>
        <v>0.21000000000000002</v>
      </c>
      <c r="X10">
        <f t="shared" si="5"/>
        <v>0.2</v>
      </c>
      <c r="Y10">
        <f t="shared" si="5"/>
        <v>0.2</v>
      </c>
      <c r="Z10">
        <f t="shared" si="5"/>
        <v>0.16199999999999998</v>
      </c>
      <c r="AA10">
        <f t="shared" si="5"/>
        <v>0.156</v>
      </c>
      <c r="AB10">
        <f t="shared" si="5"/>
        <v>0.185</v>
      </c>
      <c r="AC10">
        <f t="shared" si="5"/>
        <v>0.185</v>
      </c>
    </row>
    <row r="11" spans="3:29" x14ac:dyDescent="0.25">
      <c r="C11" s="56" t="s">
        <v>140</v>
      </c>
      <c r="D11" s="28">
        <v>1.0569999999999999</v>
      </c>
      <c r="E11" s="28">
        <v>1.1619999999999999</v>
      </c>
      <c r="F11" s="28">
        <v>0.24399999999999999</v>
      </c>
      <c r="G11" s="28">
        <v>0.27500000000000002</v>
      </c>
      <c r="H11" s="28">
        <v>0.23</v>
      </c>
      <c r="I11" s="28">
        <v>0.223</v>
      </c>
      <c r="J11" s="28">
        <v>0.23100000000000001</v>
      </c>
      <c r="K11" s="28">
        <v>0.248</v>
      </c>
      <c r="L11" s="28">
        <v>0.57999999999999996</v>
      </c>
      <c r="M11" s="28">
        <v>0.53400000000000003</v>
      </c>
      <c r="N11" s="28">
        <v>0.185</v>
      </c>
      <c r="O11" s="28">
        <v>0.193</v>
      </c>
      <c r="P11" s="29">
        <v>450</v>
      </c>
      <c r="Q11" s="30" t="s">
        <v>144</v>
      </c>
      <c r="R11" s="31">
        <f>D23-D24</f>
        <v>0.56199999999999994</v>
      </c>
      <c r="S11" s="31">
        <f t="shared" ref="S11:AC11" si="6">E23-E24</f>
        <v>0.47600000000000003</v>
      </c>
      <c r="T11">
        <f t="shared" si="6"/>
        <v>0.23700000000000004</v>
      </c>
      <c r="U11">
        <f t="shared" si="6"/>
        <v>0.254</v>
      </c>
      <c r="V11">
        <f t="shared" si="6"/>
        <v>0.19900000000000001</v>
      </c>
      <c r="W11">
        <f t="shared" si="6"/>
        <v>0.17699999999999999</v>
      </c>
      <c r="X11">
        <f t="shared" si="6"/>
        <v>0.15600000000000003</v>
      </c>
      <c r="Y11">
        <f t="shared" si="6"/>
        <v>0.19600000000000001</v>
      </c>
      <c r="Z11">
        <f t="shared" si="6"/>
        <v>0.13600000000000001</v>
      </c>
      <c r="AA11">
        <f t="shared" si="6"/>
        <v>0.15100000000000002</v>
      </c>
      <c r="AB11">
        <f t="shared" si="6"/>
        <v>0.188</v>
      </c>
      <c r="AC11">
        <f t="shared" si="6"/>
        <v>0.16400000000000001</v>
      </c>
    </row>
    <row r="12" spans="3:29" x14ac:dyDescent="0.25">
      <c r="C12" s="57"/>
      <c r="D12" s="32">
        <v>5.2999999999999999E-2</v>
      </c>
      <c r="E12" s="32">
        <v>5.6000000000000001E-2</v>
      </c>
      <c r="F12" s="32">
        <v>4.3999999999999997E-2</v>
      </c>
      <c r="G12" s="32">
        <v>4.5999999999999999E-2</v>
      </c>
      <c r="H12" s="32">
        <v>4.4999999999999998E-2</v>
      </c>
      <c r="I12" s="32">
        <v>4.3999999999999997E-2</v>
      </c>
      <c r="J12" s="32">
        <v>4.2999999999999997E-2</v>
      </c>
      <c r="K12" s="32">
        <v>4.2999999999999997E-2</v>
      </c>
      <c r="L12" s="32">
        <v>4.9000000000000002E-2</v>
      </c>
      <c r="M12" s="32">
        <v>4.8000000000000001E-2</v>
      </c>
      <c r="N12" s="32">
        <v>4.1000000000000002E-2</v>
      </c>
      <c r="O12" s="32">
        <v>4.2999999999999997E-2</v>
      </c>
      <c r="P12" s="29">
        <v>540</v>
      </c>
      <c r="Q12" s="30" t="s">
        <v>145</v>
      </c>
      <c r="R12" s="31">
        <f>D26-D27</f>
        <v>3.8000000000000006E-2</v>
      </c>
      <c r="S12" s="31">
        <f t="shared" ref="S12:AC12" si="7">E26-E27</f>
        <v>5.0999999999999997E-2</v>
      </c>
      <c r="T12">
        <f t="shared" si="7"/>
        <v>0.22500000000000003</v>
      </c>
      <c r="U12">
        <f t="shared" si="7"/>
        <v>0.245</v>
      </c>
      <c r="V12">
        <f t="shared" si="7"/>
        <v>0.23400000000000001</v>
      </c>
      <c r="W12">
        <f t="shared" si="7"/>
        <v>0.26700000000000002</v>
      </c>
      <c r="X12">
        <f t="shared" si="7"/>
        <v>0.17199999999999999</v>
      </c>
      <c r="Y12">
        <f t="shared" si="7"/>
        <v>0.186</v>
      </c>
      <c r="Z12">
        <f t="shared" si="7"/>
        <v>0.15500000000000003</v>
      </c>
      <c r="AA12">
        <f t="shared" si="7"/>
        <v>0.151</v>
      </c>
      <c r="AB12">
        <f t="shared" si="7"/>
        <v>0.20600000000000002</v>
      </c>
      <c r="AC12">
        <f t="shared" si="7"/>
        <v>0.15600000000000003</v>
      </c>
    </row>
    <row r="13" spans="3:29" x14ac:dyDescent="0.25">
      <c r="C13" s="58"/>
      <c r="D13" s="33">
        <v>4.2999999999999997E-2</v>
      </c>
      <c r="E13" s="33">
        <v>4.4999999999999998E-2</v>
      </c>
      <c r="F13" s="33">
        <v>4.2000000000000003E-2</v>
      </c>
      <c r="G13" s="33">
        <v>4.2999999999999997E-2</v>
      </c>
      <c r="H13" s="33">
        <v>4.2999999999999997E-2</v>
      </c>
      <c r="I13" s="33">
        <v>4.2000000000000003E-2</v>
      </c>
      <c r="J13" s="33">
        <v>4.2000000000000003E-2</v>
      </c>
      <c r="K13" s="33">
        <v>4.1000000000000002E-2</v>
      </c>
      <c r="L13" s="33">
        <v>4.3999999999999997E-2</v>
      </c>
      <c r="M13" s="33">
        <v>4.2999999999999997E-2</v>
      </c>
      <c r="N13" s="33">
        <v>3.9E-2</v>
      </c>
      <c r="O13" s="33">
        <v>4.2000000000000003E-2</v>
      </c>
      <c r="P13" s="29">
        <v>570</v>
      </c>
    </row>
    <row r="14" spans="3:29" ht="30" x14ac:dyDescent="0.25">
      <c r="C14" s="56" t="s">
        <v>141</v>
      </c>
      <c r="D14" s="28">
        <v>0.84</v>
      </c>
      <c r="E14" s="28">
        <v>0.77800000000000002</v>
      </c>
      <c r="F14" s="28">
        <v>0.25800000000000001</v>
      </c>
      <c r="G14" s="28">
        <v>0.27900000000000003</v>
      </c>
      <c r="H14" s="28">
        <v>0.23400000000000001</v>
      </c>
      <c r="I14" s="28">
        <v>0.23100000000000001</v>
      </c>
      <c r="J14" s="28">
        <v>0.26100000000000001</v>
      </c>
      <c r="K14" s="28">
        <v>0.28499999999999998</v>
      </c>
      <c r="L14" s="28">
        <v>0.54600000000000004</v>
      </c>
      <c r="M14" s="28">
        <v>0.52700000000000002</v>
      </c>
      <c r="N14" s="28">
        <v>0.20899999999999999</v>
      </c>
      <c r="O14" s="28">
        <v>0.192</v>
      </c>
      <c r="P14" s="29">
        <v>450</v>
      </c>
      <c r="R14" s="4" t="s">
        <v>1</v>
      </c>
      <c r="S14" s="52" t="s">
        <v>2</v>
      </c>
      <c r="T14" s="52"/>
      <c r="U14" s="52"/>
      <c r="V14" s="52"/>
      <c r="W14" s="52"/>
      <c r="X14" s="52"/>
      <c r="Z14" s="5" t="s">
        <v>3</v>
      </c>
    </row>
    <row r="15" spans="3:29" x14ac:dyDescent="0.25">
      <c r="C15" s="57"/>
      <c r="D15" s="32">
        <v>5.1999999999999998E-2</v>
      </c>
      <c r="E15" s="32">
        <v>0.05</v>
      </c>
      <c r="F15" s="32">
        <v>4.4999999999999998E-2</v>
      </c>
      <c r="G15" s="32">
        <v>4.3999999999999997E-2</v>
      </c>
      <c r="H15" s="32">
        <v>4.4999999999999998E-2</v>
      </c>
      <c r="I15" s="32">
        <v>4.2999999999999997E-2</v>
      </c>
      <c r="J15" s="32">
        <v>4.2999999999999997E-2</v>
      </c>
      <c r="K15" s="32">
        <v>4.4999999999999998E-2</v>
      </c>
      <c r="L15" s="32">
        <v>4.8000000000000001E-2</v>
      </c>
      <c r="M15" s="32">
        <v>4.4999999999999998E-2</v>
      </c>
      <c r="N15" s="32">
        <v>4.3999999999999997E-2</v>
      </c>
      <c r="O15" s="32">
        <v>4.2000000000000003E-2</v>
      </c>
      <c r="P15" s="29">
        <v>540</v>
      </c>
      <c r="R15" s="3">
        <v>800</v>
      </c>
      <c r="S15" s="31">
        <v>2.2850000000000001</v>
      </c>
      <c r="T15" s="31">
        <v>1.9369999999999998</v>
      </c>
      <c r="U15" s="34">
        <v>2.9210000000000003</v>
      </c>
      <c r="V15" s="34">
        <v>3.073</v>
      </c>
      <c r="W15" s="35">
        <v>2.444</v>
      </c>
      <c r="X15" s="35">
        <v>2.3850000000000002</v>
      </c>
      <c r="Z15" s="2">
        <f>AVERAGE(S15:X15)</f>
        <v>2.5074999999999998</v>
      </c>
    </row>
    <row r="16" spans="3:29" x14ac:dyDescent="0.25">
      <c r="C16" s="58"/>
      <c r="D16" s="33">
        <v>4.2999999999999997E-2</v>
      </c>
      <c r="E16" s="33">
        <v>4.2999999999999997E-2</v>
      </c>
      <c r="F16" s="33">
        <v>4.2999999999999997E-2</v>
      </c>
      <c r="G16" s="33">
        <v>4.2000000000000003E-2</v>
      </c>
      <c r="H16" s="33">
        <v>4.2999999999999997E-2</v>
      </c>
      <c r="I16" s="33">
        <v>4.1000000000000002E-2</v>
      </c>
      <c r="J16" s="33">
        <v>0.04</v>
      </c>
      <c r="K16" s="33">
        <v>4.2999999999999997E-2</v>
      </c>
      <c r="L16" s="33">
        <v>4.2999999999999997E-2</v>
      </c>
      <c r="M16" s="33">
        <v>0.04</v>
      </c>
      <c r="N16" s="33">
        <v>4.2000000000000003E-2</v>
      </c>
      <c r="O16" s="33">
        <v>4.1000000000000002E-2</v>
      </c>
      <c r="P16" s="29">
        <v>570</v>
      </c>
      <c r="R16" s="3">
        <v>400</v>
      </c>
      <c r="S16" s="31">
        <v>1.5610000000000002</v>
      </c>
      <c r="T16" s="31">
        <v>1.627</v>
      </c>
      <c r="U16" s="34">
        <v>2.0330000000000004</v>
      </c>
      <c r="V16" s="34">
        <v>2.0580000000000003</v>
      </c>
      <c r="W16" s="35">
        <v>1.6120000000000001</v>
      </c>
      <c r="X16" s="35">
        <v>1.397</v>
      </c>
      <c r="Z16" s="2">
        <f t="shared" ref="Z16:Z22" si="8">AVERAGE(S16:X16)</f>
        <v>1.7146666666666668</v>
      </c>
    </row>
    <row r="17" spans="3:29" x14ac:dyDescent="0.25">
      <c r="C17" s="56" t="s">
        <v>142</v>
      </c>
      <c r="D17" s="28">
        <v>0.72099999999999997</v>
      </c>
      <c r="E17" s="28">
        <v>0.68400000000000005</v>
      </c>
      <c r="F17" s="28">
        <v>0.30399999999999999</v>
      </c>
      <c r="G17" s="28">
        <v>0.32400000000000001</v>
      </c>
      <c r="H17" s="28">
        <v>0.246</v>
      </c>
      <c r="I17" s="28">
        <v>0.24</v>
      </c>
      <c r="J17" s="28">
        <v>0.254</v>
      </c>
      <c r="K17" s="28">
        <v>0.24099999999999999</v>
      </c>
      <c r="L17" s="28">
        <v>0.20799999999999999</v>
      </c>
      <c r="M17" s="28">
        <v>0.19800000000000001</v>
      </c>
      <c r="N17" s="28">
        <v>0.22800000000000001</v>
      </c>
      <c r="O17" s="28">
        <v>0.24</v>
      </c>
      <c r="P17" s="29">
        <v>450</v>
      </c>
      <c r="R17" s="9">
        <v>200</v>
      </c>
      <c r="S17" s="31">
        <v>1.004</v>
      </c>
      <c r="T17" s="31">
        <v>1.1059999999999999</v>
      </c>
      <c r="U17" s="34">
        <v>1.2609999999999999</v>
      </c>
      <c r="V17" s="34">
        <v>1.3380000000000001</v>
      </c>
      <c r="W17" s="35">
        <v>0.98599999999999999</v>
      </c>
      <c r="X17" s="35">
        <v>0.876</v>
      </c>
      <c r="Z17" s="2">
        <f t="shared" si="8"/>
        <v>1.0951666666666666</v>
      </c>
    </row>
    <row r="18" spans="3:29" x14ac:dyDescent="0.25">
      <c r="C18" s="57"/>
      <c r="D18" s="32">
        <v>4.9000000000000002E-2</v>
      </c>
      <c r="E18" s="32">
        <v>4.9000000000000002E-2</v>
      </c>
      <c r="F18" s="32">
        <v>4.4999999999999998E-2</v>
      </c>
      <c r="G18" s="32">
        <v>4.3999999999999997E-2</v>
      </c>
      <c r="H18" s="32">
        <v>4.3999999999999997E-2</v>
      </c>
      <c r="I18" s="32">
        <v>4.7E-2</v>
      </c>
      <c r="J18" s="32">
        <v>4.4999999999999998E-2</v>
      </c>
      <c r="K18" s="32">
        <v>4.2999999999999997E-2</v>
      </c>
      <c r="L18" s="32">
        <v>4.2999999999999997E-2</v>
      </c>
      <c r="M18" s="32">
        <v>4.2999999999999997E-2</v>
      </c>
      <c r="N18" s="32">
        <v>4.4999999999999998E-2</v>
      </c>
      <c r="O18" s="32">
        <v>4.4999999999999998E-2</v>
      </c>
      <c r="P18" s="29">
        <v>540</v>
      </c>
      <c r="R18" s="3">
        <v>100</v>
      </c>
      <c r="S18" s="31">
        <v>0.78799999999999992</v>
      </c>
      <c r="T18" s="31">
        <v>0.72799999999999998</v>
      </c>
      <c r="U18" s="34">
        <v>0.754</v>
      </c>
      <c r="V18" s="34">
        <v>0.78699999999999992</v>
      </c>
      <c r="W18" s="35">
        <v>0.58799999999999997</v>
      </c>
      <c r="X18" s="35">
        <v>0.53899999999999992</v>
      </c>
      <c r="Z18" s="2">
        <f t="shared" si="8"/>
        <v>0.69733333333333336</v>
      </c>
    </row>
    <row r="19" spans="3:29" x14ac:dyDescent="0.25">
      <c r="C19" s="58"/>
      <c r="D19" s="33">
        <v>4.2999999999999997E-2</v>
      </c>
      <c r="E19" s="33">
        <v>4.2999999999999997E-2</v>
      </c>
      <c r="F19" s="33">
        <v>4.2999999999999997E-2</v>
      </c>
      <c r="G19" s="33">
        <v>4.2000000000000003E-2</v>
      </c>
      <c r="H19" s="33">
        <v>4.2000000000000003E-2</v>
      </c>
      <c r="I19" s="33">
        <v>4.3999999999999997E-2</v>
      </c>
      <c r="J19" s="33">
        <v>4.2000000000000003E-2</v>
      </c>
      <c r="K19" s="33">
        <v>4.2000000000000003E-2</v>
      </c>
      <c r="L19" s="33">
        <v>4.1000000000000002E-2</v>
      </c>
      <c r="M19" s="33">
        <v>4.1000000000000002E-2</v>
      </c>
      <c r="N19" s="33">
        <v>4.2999999999999997E-2</v>
      </c>
      <c r="O19" s="33">
        <v>4.2999999999999997E-2</v>
      </c>
      <c r="P19" s="29">
        <v>570</v>
      </c>
      <c r="R19" s="3">
        <v>50</v>
      </c>
      <c r="S19" s="31">
        <v>0.67199999999999993</v>
      </c>
      <c r="T19" s="31">
        <v>0.63500000000000001</v>
      </c>
      <c r="U19" s="34">
        <v>0.48800000000000004</v>
      </c>
      <c r="V19" s="34">
        <v>0.49200000000000005</v>
      </c>
      <c r="W19" s="35">
        <v>0.373</v>
      </c>
      <c r="X19" s="35">
        <v>0.33600000000000002</v>
      </c>
      <c r="Z19" s="2">
        <f t="shared" si="8"/>
        <v>0.49933333333333335</v>
      </c>
    </row>
    <row r="20" spans="3:29" x14ac:dyDescent="0.25">
      <c r="C20" s="56" t="s">
        <v>143</v>
      </c>
      <c r="D20" s="28">
        <v>0.65800000000000003</v>
      </c>
      <c r="E20" s="28">
        <v>0.64700000000000002</v>
      </c>
      <c r="F20" s="28">
        <v>0.28699999999999998</v>
      </c>
      <c r="G20" s="28">
        <v>0.32500000000000001</v>
      </c>
      <c r="H20" s="28">
        <v>0.248</v>
      </c>
      <c r="I20" s="28">
        <v>0.253</v>
      </c>
      <c r="J20" s="28">
        <v>0.245</v>
      </c>
      <c r="K20" s="28">
        <v>0.24299999999999999</v>
      </c>
      <c r="L20" s="28">
        <v>0.20599999999999999</v>
      </c>
      <c r="M20" s="28">
        <v>0.19800000000000001</v>
      </c>
      <c r="N20" s="28">
        <v>0.22800000000000001</v>
      </c>
      <c r="O20" s="28">
        <v>0.23</v>
      </c>
      <c r="P20" s="29">
        <v>450</v>
      </c>
      <c r="R20" s="9">
        <v>25</v>
      </c>
      <c r="S20" s="31">
        <v>0.60899999999999999</v>
      </c>
      <c r="T20" s="31">
        <v>0.59899999999999998</v>
      </c>
      <c r="U20" s="34">
        <v>0.34100000000000003</v>
      </c>
      <c r="V20" s="34">
        <v>0.34400000000000003</v>
      </c>
      <c r="W20" s="35">
        <v>0.26</v>
      </c>
      <c r="X20" s="35">
        <v>0.23200000000000004</v>
      </c>
      <c r="Z20" s="2">
        <f t="shared" si="8"/>
        <v>0.39750000000000002</v>
      </c>
    </row>
    <row r="21" spans="3:29" x14ac:dyDescent="0.25">
      <c r="C21" s="57"/>
      <c r="D21" s="32">
        <v>4.9000000000000002E-2</v>
      </c>
      <c r="E21" s="32">
        <v>4.8000000000000001E-2</v>
      </c>
      <c r="F21" s="32">
        <v>4.4999999999999998E-2</v>
      </c>
      <c r="G21" s="32">
        <v>4.4999999999999998E-2</v>
      </c>
      <c r="H21" s="32">
        <v>4.2999999999999997E-2</v>
      </c>
      <c r="I21" s="32">
        <v>4.2999999999999997E-2</v>
      </c>
      <c r="J21" s="32">
        <v>4.4999999999999998E-2</v>
      </c>
      <c r="K21" s="32">
        <v>4.2999999999999997E-2</v>
      </c>
      <c r="L21" s="32">
        <v>4.3999999999999997E-2</v>
      </c>
      <c r="M21" s="32">
        <v>4.2000000000000003E-2</v>
      </c>
      <c r="N21" s="32">
        <v>4.2999999999999997E-2</v>
      </c>
      <c r="O21" s="32">
        <v>4.4999999999999998E-2</v>
      </c>
      <c r="P21" s="29">
        <v>540</v>
      </c>
      <c r="R21" s="3">
        <v>12.5</v>
      </c>
      <c r="S21" s="31">
        <v>0.56199999999999994</v>
      </c>
      <c r="T21" s="31">
        <v>0.47600000000000003</v>
      </c>
      <c r="U21" s="34">
        <v>0.28000000000000003</v>
      </c>
      <c r="V21" s="34">
        <v>0.29400000000000004</v>
      </c>
      <c r="W21" s="35">
        <v>0.21700000000000003</v>
      </c>
      <c r="X21" s="35">
        <v>0.21800000000000003</v>
      </c>
      <c r="Z21" s="2">
        <f t="shared" si="8"/>
        <v>0.34116666666666667</v>
      </c>
    </row>
    <row r="22" spans="3:29" x14ac:dyDescent="0.25">
      <c r="C22" s="58"/>
      <c r="D22" s="33">
        <v>4.2999999999999997E-2</v>
      </c>
      <c r="E22" s="33">
        <v>4.2000000000000003E-2</v>
      </c>
      <c r="F22" s="33">
        <v>4.2999999999999997E-2</v>
      </c>
      <c r="G22" s="33">
        <v>4.2999999999999997E-2</v>
      </c>
      <c r="H22" s="33">
        <v>4.1000000000000002E-2</v>
      </c>
      <c r="I22" s="33">
        <v>4.1000000000000002E-2</v>
      </c>
      <c r="J22" s="33">
        <v>4.2999999999999997E-2</v>
      </c>
      <c r="K22" s="33">
        <v>4.1000000000000002E-2</v>
      </c>
      <c r="L22" s="33">
        <v>4.2000000000000003E-2</v>
      </c>
      <c r="M22" s="33">
        <v>0.04</v>
      </c>
      <c r="N22" s="33">
        <v>4.1000000000000002E-2</v>
      </c>
      <c r="O22" s="33">
        <v>4.2999999999999997E-2</v>
      </c>
      <c r="P22" s="29">
        <v>570</v>
      </c>
      <c r="R22" s="3" t="s">
        <v>4</v>
      </c>
      <c r="S22" s="31">
        <v>3.8000000000000006E-2</v>
      </c>
      <c r="T22" s="31">
        <v>5.0999999999999997E-2</v>
      </c>
      <c r="U22" s="34">
        <v>1.3999999999999992E-2</v>
      </c>
      <c r="V22" s="34">
        <v>4.3999999999999997E-2</v>
      </c>
      <c r="W22" s="35">
        <v>3.6000000000000004E-2</v>
      </c>
      <c r="X22" s="35">
        <v>3.3000000000000002E-2</v>
      </c>
      <c r="Z22" s="2">
        <f t="shared" si="8"/>
        <v>3.5999999999999997E-2</v>
      </c>
    </row>
    <row r="23" spans="3:29" x14ac:dyDescent="0.25">
      <c r="C23" s="56" t="s">
        <v>144</v>
      </c>
      <c r="D23" s="28">
        <v>0.61</v>
      </c>
      <c r="E23" s="28">
        <v>0.52800000000000002</v>
      </c>
      <c r="F23" s="28">
        <v>0.28100000000000003</v>
      </c>
      <c r="G23" s="28">
        <v>0.29799999999999999</v>
      </c>
      <c r="H23" s="28">
        <v>0.24199999999999999</v>
      </c>
      <c r="I23" s="28">
        <v>0.221</v>
      </c>
      <c r="J23" s="28">
        <v>0.2</v>
      </c>
      <c r="K23" s="28">
        <v>0.24</v>
      </c>
      <c r="L23" s="28">
        <v>0.18099999999999999</v>
      </c>
      <c r="M23" s="28">
        <v>0.19400000000000001</v>
      </c>
      <c r="N23" s="28">
        <v>0.23300000000000001</v>
      </c>
      <c r="O23" s="28">
        <v>0.216</v>
      </c>
      <c r="P23" s="29">
        <v>450</v>
      </c>
    </row>
    <row r="24" spans="3:29" x14ac:dyDescent="0.25">
      <c r="C24" s="57"/>
      <c r="D24" s="32">
        <v>4.8000000000000001E-2</v>
      </c>
      <c r="E24" s="32">
        <v>5.1999999999999998E-2</v>
      </c>
      <c r="F24" s="32">
        <v>4.3999999999999997E-2</v>
      </c>
      <c r="G24" s="32">
        <v>4.3999999999999997E-2</v>
      </c>
      <c r="H24" s="32">
        <v>4.2999999999999997E-2</v>
      </c>
      <c r="I24" s="32">
        <v>4.3999999999999997E-2</v>
      </c>
      <c r="J24" s="32">
        <v>4.3999999999999997E-2</v>
      </c>
      <c r="K24" s="32">
        <v>4.3999999999999997E-2</v>
      </c>
      <c r="L24" s="32">
        <v>4.4999999999999998E-2</v>
      </c>
      <c r="M24" s="32">
        <v>4.2999999999999997E-2</v>
      </c>
      <c r="N24" s="32">
        <v>4.4999999999999998E-2</v>
      </c>
      <c r="O24" s="32">
        <v>5.1999999999999998E-2</v>
      </c>
      <c r="P24" s="29">
        <v>540</v>
      </c>
    </row>
    <row r="25" spans="3:29" x14ac:dyDescent="0.25">
      <c r="C25" s="58"/>
      <c r="D25" s="33">
        <v>4.2000000000000003E-2</v>
      </c>
      <c r="E25" s="33">
        <v>4.7E-2</v>
      </c>
      <c r="F25" s="33">
        <v>4.2000000000000003E-2</v>
      </c>
      <c r="G25" s="33">
        <v>4.1000000000000002E-2</v>
      </c>
      <c r="H25" s="33">
        <v>4.1000000000000002E-2</v>
      </c>
      <c r="I25" s="33">
        <v>4.2000000000000003E-2</v>
      </c>
      <c r="J25" s="33">
        <v>4.2000000000000003E-2</v>
      </c>
      <c r="K25" s="33">
        <v>4.1000000000000002E-2</v>
      </c>
      <c r="L25" s="33">
        <v>4.3999999999999997E-2</v>
      </c>
      <c r="M25" s="33">
        <v>4.1000000000000002E-2</v>
      </c>
      <c r="N25" s="33">
        <v>4.2999999999999997E-2</v>
      </c>
      <c r="O25" s="33">
        <v>0.05</v>
      </c>
      <c r="P25" s="29">
        <v>570</v>
      </c>
    </row>
    <row r="26" spans="3:29" x14ac:dyDescent="0.25">
      <c r="C26" s="56" t="s">
        <v>145</v>
      </c>
      <c r="D26" s="28">
        <v>8.5000000000000006E-2</v>
      </c>
      <c r="E26" s="28">
        <v>9.1999999999999998E-2</v>
      </c>
      <c r="F26" s="28">
        <v>0.26900000000000002</v>
      </c>
      <c r="G26" s="28">
        <v>0.28799999999999998</v>
      </c>
      <c r="H26" s="28">
        <v>0.27500000000000002</v>
      </c>
      <c r="I26" s="28">
        <v>0.313</v>
      </c>
      <c r="J26" s="28">
        <v>0.215</v>
      </c>
      <c r="K26" s="28">
        <v>0.22600000000000001</v>
      </c>
      <c r="L26" s="28">
        <v>0.19800000000000001</v>
      </c>
      <c r="M26" s="28">
        <v>0.193</v>
      </c>
      <c r="N26" s="28">
        <v>0.249</v>
      </c>
      <c r="O26" s="28">
        <v>0.19900000000000001</v>
      </c>
      <c r="P26" s="29">
        <v>450</v>
      </c>
    </row>
    <row r="27" spans="3:29" x14ac:dyDescent="0.25">
      <c r="C27" s="57"/>
      <c r="D27" s="32">
        <v>4.7E-2</v>
      </c>
      <c r="E27" s="32">
        <v>4.1000000000000002E-2</v>
      </c>
      <c r="F27" s="32">
        <v>4.3999999999999997E-2</v>
      </c>
      <c r="G27" s="32">
        <v>4.2999999999999997E-2</v>
      </c>
      <c r="H27" s="32">
        <v>4.1000000000000002E-2</v>
      </c>
      <c r="I27" s="32">
        <v>4.5999999999999999E-2</v>
      </c>
      <c r="J27" s="32">
        <v>4.2999999999999997E-2</v>
      </c>
      <c r="K27" s="32">
        <v>0.04</v>
      </c>
      <c r="L27" s="32">
        <v>4.2999999999999997E-2</v>
      </c>
      <c r="M27" s="32">
        <v>4.2000000000000003E-2</v>
      </c>
      <c r="N27" s="32">
        <v>4.2999999999999997E-2</v>
      </c>
      <c r="O27" s="32">
        <v>4.2999999999999997E-2</v>
      </c>
      <c r="P27" s="29">
        <v>540</v>
      </c>
    </row>
    <row r="28" spans="3:29" x14ac:dyDescent="0.25">
      <c r="C28" s="58"/>
      <c r="D28" s="33">
        <v>4.2999999999999997E-2</v>
      </c>
      <c r="E28" s="33">
        <v>3.6999999999999998E-2</v>
      </c>
      <c r="F28" s="33">
        <v>4.2000000000000003E-2</v>
      </c>
      <c r="G28" s="33">
        <v>0.04</v>
      </c>
      <c r="H28" s="33">
        <v>3.7999999999999999E-2</v>
      </c>
      <c r="I28" s="33">
        <v>4.2000000000000003E-2</v>
      </c>
      <c r="J28" s="33">
        <v>4.1000000000000002E-2</v>
      </c>
      <c r="K28" s="33">
        <v>3.7999999999999999E-2</v>
      </c>
      <c r="L28" s="33">
        <v>4.2000000000000003E-2</v>
      </c>
      <c r="M28" s="33">
        <v>0.04</v>
      </c>
      <c r="N28" s="33">
        <v>4.1000000000000002E-2</v>
      </c>
      <c r="O28" s="33">
        <v>4.1000000000000002E-2</v>
      </c>
      <c r="P28" s="29">
        <v>570</v>
      </c>
    </row>
    <row r="32" spans="3:29" ht="26.25" x14ac:dyDescent="0.4">
      <c r="C32" s="55" t="s">
        <v>146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Q32" s="55" t="s">
        <v>147</v>
      </c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</row>
    <row r="34" spans="3:29" x14ac:dyDescent="0.25">
      <c r="C34" s="26"/>
      <c r="D34" s="27">
        <v>1</v>
      </c>
      <c r="E34" s="27">
        <v>2</v>
      </c>
      <c r="F34" s="27">
        <v>3</v>
      </c>
      <c r="G34" s="27">
        <v>4</v>
      </c>
      <c r="H34" s="27">
        <v>5</v>
      </c>
      <c r="I34" s="27">
        <v>6</v>
      </c>
      <c r="J34" s="27">
        <v>7</v>
      </c>
      <c r="K34" s="27">
        <v>8</v>
      </c>
      <c r="L34" s="27">
        <v>9</v>
      </c>
      <c r="M34" s="27">
        <v>10</v>
      </c>
      <c r="N34" s="27">
        <v>11</v>
      </c>
      <c r="O34" s="27">
        <v>12</v>
      </c>
      <c r="Q34" s="26"/>
      <c r="R34" s="27">
        <v>1</v>
      </c>
      <c r="S34" s="27">
        <v>2</v>
      </c>
      <c r="T34" s="27">
        <v>3</v>
      </c>
      <c r="U34" s="27">
        <v>4</v>
      </c>
      <c r="V34" s="27">
        <v>5</v>
      </c>
      <c r="W34" s="27">
        <v>6</v>
      </c>
      <c r="X34" s="27">
        <v>7</v>
      </c>
      <c r="Y34" s="27">
        <v>8</v>
      </c>
      <c r="Z34" s="27">
        <v>9</v>
      </c>
      <c r="AA34" s="27">
        <v>10</v>
      </c>
      <c r="AB34" s="27">
        <v>11</v>
      </c>
      <c r="AC34" s="27">
        <v>12</v>
      </c>
    </row>
    <row r="35" spans="3:29" x14ac:dyDescent="0.25">
      <c r="C35" s="56" t="s">
        <v>138</v>
      </c>
      <c r="D35" s="28">
        <v>2.9980000000000002</v>
      </c>
      <c r="E35" s="28">
        <v>3.15</v>
      </c>
      <c r="F35" s="28">
        <v>0.218</v>
      </c>
      <c r="G35" s="28">
        <v>0.216</v>
      </c>
      <c r="H35" s="28">
        <v>0.20399999999999999</v>
      </c>
      <c r="I35" s="28">
        <v>0.20899999999999999</v>
      </c>
      <c r="J35" s="28">
        <v>0.28399999999999997</v>
      </c>
      <c r="K35" s="28">
        <v>0.25600000000000001</v>
      </c>
      <c r="L35" s="28">
        <v>0.14299999999999999</v>
      </c>
      <c r="M35" s="28">
        <v>0.16600000000000001</v>
      </c>
      <c r="N35" s="28">
        <v>0.151</v>
      </c>
      <c r="O35" s="28">
        <v>0.161</v>
      </c>
      <c r="P35" s="29">
        <v>450</v>
      </c>
      <c r="Q35" s="30" t="s">
        <v>138</v>
      </c>
      <c r="R35" s="36">
        <f>D35-D36</f>
        <v>2.9210000000000003</v>
      </c>
      <c r="S35" s="36">
        <f>E35-E36</f>
        <v>3.073</v>
      </c>
      <c r="T35">
        <f>F35-F36</f>
        <v>0.17599999999999999</v>
      </c>
      <c r="U35">
        <f>G35-G36</f>
        <v>0.17399999999999999</v>
      </c>
      <c r="V35">
        <f t="shared" ref="V35:Z35" si="9">H35-H36</f>
        <v>0.16099999999999998</v>
      </c>
      <c r="W35">
        <f t="shared" si="9"/>
        <v>0.16599999999999998</v>
      </c>
      <c r="X35">
        <f t="shared" si="9"/>
        <v>0.24099999999999999</v>
      </c>
      <c r="Y35">
        <f t="shared" si="9"/>
        <v>0.21100000000000002</v>
      </c>
      <c r="Z35">
        <f t="shared" si="9"/>
        <v>0.10099999999999998</v>
      </c>
      <c r="AA35">
        <f>M35-M36</f>
        <v>0.124</v>
      </c>
      <c r="AB35">
        <f t="shared" ref="AB35:AC35" si="10">N35-N36</f>
        <v>0.10899999999999999</v>
      </c>
      <c r="AC35">
        <f t="shared" si="10"/>
        <v>0.11899999999999999</v>
      </c>
    </row>
    <row r="36" spans="3:29" x14ac:dyDescent="0.25">
      <c r="C36" s="57"/>
      <c r="D36" s="32">
        <v>7.6999999999999999E-2</v>
      </c>
      <c r="E36" s="32">
        <v>7.6999999999999999E-2</v>
      </c>
      <c r="F36" s="32">
        <v>4.2000000000000003E-2</v>
      </c>
      <c r="G36" s="32">
        <v>4.2000000000000003E-2</v>
      </c>
      <c r="H36" s="32">
        <v>4.2999999999999997E-2</v>
      </c>
      <c r="I36" s="32">
        <v>4.2999999999999997E-2</v>
      </c>
      <c r="J36" s="32">
        <v>4.2999999999999997E-2</v>
      </c>
      <c r="K36" s="32">
        <v>4.4999999999999998E-2</v>
      </c>
      <c r="L36" s="32">
        <v>4.2000000000000003E-2</v>
      </c>
      <c r="M36" s="32">
        <v>4.2000000000000003E-2</v>
      </c>
      <c r="N36" s="32">
        <v>4.2000000000000003E-2</v>
      </c>
      <c r="O36" s="32">
        <v>4.2000000000000003E-2</v>
      </c>
      <c r="P36" s="29">
        <v>540</v>
      </c>
      <c r="Q36" s="30" t="s">
        <v>139</v>
      </c>
      <c r="R36" s="36">
        <f>D38-D39</f>
        <v>2.0330000000000004</v>
      </c>
      <c r="S36" s="36">
        <f t="shared" ref="S36:Z36" si="11">E38-E39</f>
        <v>2.0580000000000003</v>
      </c>
      <c r="T36">
        <f t="shared" si="11"/>
        <v>0.15100000000000002</v>
      </c>
      <c r="U36">
        <f t="shared" si="11"/>
        <v>0.14499999999999999</v>
      </c>
      <c r="V36">
        <f t="shared" si="11"/>
        <v>0.17199999999999999</v>
      </c>
      <c r="W36">
        <f t="shared" si="11"/>
        <v>0.14600000000000002</v>
      </c>
      <c r="X36">
        <f t="shared" si="11"/>
        <v>0.26800000000000002</v>
      </c>
      <c r="Y36">
        <f t="shared" si="11"/>
        <v>0.27500000000000002</v>
      </c>
      <c r="Z36">
        <f t="shared" si="11"/>
        <v>0.125</v>
      </c>
      <c r="AA36">
        <f>M38-M39</f>
        <v>0.13600000000000001</v>
      </c>
      <c r="AB36">
        <f t="shared" ref="AB36:AC36" si="12">N38-N39</f>
        <v>0.10699999999999998</v>
      </c>
      <c r="AC36">
        <f t="shared" si="12"/>
        <v>0.122</v>
      </c>
    </row>
    <row r="37" spans="3:29" x14ac:dyDescent="0.25">
      <c r="C37" s="58"/>
      <c r="D37" s="33">
        <v>4.8000000000000001E-2</v>
      </c>
      <c r="E37" s="33">
        <v>4.7E-2</v>
      </c>
      <c r="F37" s="33">
        <v>4.1000000000000002E-2</v>
      </c>
      <c r="G37" s="33">
        <v>4.1000000000000002E-2</v>
      </c>
      <c r="H37" s="33">
        <v>4.1000000000000002E-2</v>
      </c>
      <c r="I37" s="33">
        <v>4.1000000000000002E-2</v>
      </c>
      <c r="J37" s="33">
        <v>4.1000000000000002E-2</v>
      </c>
      <c r="K37" s="33">
        <v>4.2999999999999997E-2</v>
      </c>
      <c r="L37" s="33">
        <v>4.1000000000000002E-2</v>
      </c>
      <c r="M37" s="33">
        <v>4.1000000000000002E-2</v>
      </c>
      <c r="N37" s="33">
        <v>0.04</v>
      </c>
      <c r="O37" s="33">
        <v>4.1000000000000002E-2</v>
      </c>
      <c r="P37" s="29">
        <v>570</v>
      </c>
      <c r="Q37" s="30" t="s">
        <v>140</v>
      </c>
      <c r="R37" s="36">
        <f>D41-D42</f>
        <v>1.2609999999999999</v>
      </c>
      <c r="S37" s="36">
        <f t="shared" ref="S37:AC37" si="13">E41-E42</f>
        <v>1.3380000000000001</v>
      </c>
      <c r="T37">
        <f t="shared" si="13"/>
        <v>0.16799999999999998</v>
      </c>
      <c r="U37">
        <f t="shared" si="13"/>
        <v>0.16999999999999998</v>
      </c>
      <c r="V37">
        <f t="shared" si="13"/>
        <v>0.183</v>
      </c>
      <c r="W37">
        <f t="shared" si="13"/>
        <v>0.18099999999999999</v>
      </c>
      <c r="X37">
        <f t="shared" si="13"/>
        <v>0.28900000000000003</v>
      </c>
      <c r="Y37">
        <f t="shared" si="13"/>
        <v>0.29500000000000004</v>
      </c>
      <c r="Z37">
        <f t="shared" si="13"/>
        <v>0.126</v>
      </c>
      <c r="AA37">
        <f t="shared" si="13"/>
        <v>0.13</v>
      </c>
      <c r="AB37">
        <f t="shared" si="13"/>
        <v>0.11099999999999999</v>
      </c>
      <c r="AC37">
        <f t="shared" si="13"/>
        <v>7.7999999999999986E-2</v>
      </c>
    </row>
    <row r="38" spans="3:29" x14ac:dyDescent="0.25">
      <c r="C38" s="56" t="s">
        <v>139</v>
      </c>
      <c r="D38" s="28">
        <v>2.0990000000000002</v>
      </c>
      <c r="E38" s="28">
        <v>2.1240000000000001</v>
      </c>
      <c r="F38" s="28">
        <v>0.19400000000000001</v>
      </c>
      <c r="G38" s="28">
        <v>0.187</v>
      </c>
      <c r="H38" s="28">
        <v>0.217</v>
      </c>
      <c r="I38" s="28">
        <v>0.191</v>
      </c>
      <c r="J38" s="28">
        <v>0.311</v>
      </c>
      <c r="K38" s="28">
        <v>0.31900000000000001</v>
      </c>
      <c r="L38" s="28">
        <v>0.16800000000000001</v>
      </c>
      <c r="M38" s="28">
        <v>0.17899999999999999</v>
      </c>
      <c r="N38" s="28">
        <v>0.14899999999999999</v>
      </c>
      <c r="O38" s="28">
        <v>0.16400000000000001</v>
      </c>
      <c r="P38" s="29">
        <v>450</v>
      </c>
      <c r="Q38" s="30" t="s">
        <v>141</v>
      </c>
      <c r="R38" s="36">
        <f>D44-D45</f>
        <v>0.754</v>
      </c>
      <c r="S38" s="36">
        <f t="shared" ref="S38:AC38" si="14">E44-E45</f>
        <v>0.78699999999999992</v>
      </c>
      <c r="T38">
        <f t="shared" si="14"/>
        <v>0.15500000000000003</v>
      </c>
      <c r="U38">
        <f t="shared" si="14"/>
        <v>0.15600000000000003</v>
      </c>
      <c r="V38">
        <f t="shared" si="14"/>
        <v>0.16899999999999998</v>
      </c>
      <c r="W38">
        <f t="shared" si="14"/>
        <v>0.17399999999999999</v>
      </c>
      <c r="X38">
        <f t="shared" si="14"/>
        <v>0.38500000000000001</v>
      </c>
      <c r="Y38">
        <f t="shared" si="14"/>
        <v>0.38900000000000001</v>
      </c>
      <c r="Z38">
        <f t="shared" si="14"/>
        <v>0.16099999999999998</v>
      </c>
      <c r="AA38">
        <f t="shared" si="14"/>
        <v>0.16199999999999998</v>
      </c>
      <c r="AB38">
        <f t="shared" si="14"/>
        <v>0.13200000000000001</v>
      </c>
      <c r="AC38">
        <f t="shared" si="14"/>
        <v>0.122</v>
      </c>
    </row>
    <row r="39" spans="3:29" x14ac:dyDescent="0.25">
      <c r="C39" s="57"/>
      <c r="D39" s="32">
        <v>6.6000000000000003E-2</v>
      </c>
      <c r="E39" s="32">
        <v>6.6000000000000003E-2</v>
      </c>
      <c r="F39" s="32">
        <v>4.2999999999999997E-2</v>
      </c>
      <c r="G39" s="32">
        <v>4.2000000000000003E-2</v>
      </c>
      <c r="H39" s="32">
        <v>4.4999999999999998E-2</v>
      </c>
      <c r="I39" s="32">
        <v>4.4999999999999998E-2</v>
      </c>
      <c r="J39" s="32">
        <v>4.2999999999999997E-2</v>
      </c>
      <c r="K39" s="32">
        <v>4.3999999999999997E-2</v>
      </c>
      <c r="L39" s="32">
        <v>4.2999999999999997E-2</v>
      </c>
      <c r="M39" s="32">
        <v>4.2999999999999997E-2</v>
      </c>
      <c r="N39" s="32">
        <v>4.2000000000000003E-2</v>
      </c>
      <c r="O39" s="32">
        <v>4.2000000000000003E-2</v>
      </c>
      <c r="P39" s="29">
        <v>540</v>
      </c>
      <c r="Q39" s="30" t="s">
        <v>142</v>
      </c>
      <c r="R39" s="36">
        <f>D47-D48</f>
        <v>0.48800000000000004</v>
      </c>
      <c r="S39" s="36">
        <f t="shared" ref="S39:AB39" si="15">E47-E48</f>
        <v>0.49200000000000005</v>
      </c>
      <c r="T39">
        <f t="shared" si="15"/>
        <v>0.15700000000000003</v>
      </c>
      <c r="U39">
        <f t="shared" si="15"/>
        <v>0.15700000000000003</v>
      </c>
      <c r="V39">
        <f t="shared" si="15"/>
        <v>0.16199999999999998</v>
      </c>
      <c r="W39">
        <f t="shared" si="15"/>
        <v>0.16899999999999998</v>
      </c>
      <c r="X39">
        <f t="shared" si="15"/>
        <v>0.12499999999999999</v>
      </c>
      <c r="Y39">
        <f t="shared" si="15"/>
        <v>0.112</v>
      </c>
      <c r="Z39">
        <f t="shared" si="15"/>
        <v>0.14700000000000002</v>
      </c>
      <c r="AA39">
        <f t="shared" si="15"/>
        <v>0.15600000000000003</v>
      </c>
      <c r="AB39">
        <f t="shared" si="15"/>
        <v>0.14600000000000002</v>
      </c>
      <c r="AC39">
        <f>O47-O48</f>
        <v>0.106</v>
      </c>
    </row>
    <row r="40" spans="3:29" x14ac:dyDescent="0.25">
      <c r="C40" s="58"/>
      <c r="D40" s="33">
        <v>4.5999999999999999E-2</v>
      </c>
      <c r="E40" s="33">
        <v>4.4999999999999998E-2</v>
      </c>
      <c r="F40" s="33">
        <v>4.1000000000000002E-2</v>
      </c>
      <c r="G40" s="33">
        <v>4.1000000000000002E-2</v>
      </c>
      <c r="H40" s="33">
        <v>4.2999999999999997E-2</v>
      </c>
      <c r="I40" s="33">
        <v>4.2999999999999997E-2</v>
      </c>
      <c r="J40" s="33">
        <v>4.1000000000000002E-2</v>
      </c>
      <c r="K40" s="33">
        <v>4.1000000000000002E-2</v>
      </c>
      <c r="L40" s="33">
        <v>4.1000000000000002E-2</v>
      </c>
      <c r="M40" s="33">
        <v>4.1000000000000002E-2</v>
      </c>
      <c r="N40" s="33">
        <v>4.1000000000000002E-2</v>
      </c>
      <c r="O40" s="33">
        <v>4.1000000000000002E-2</v>
      </c>
      <c r="P40" s="29">
        <v>570</v>
      </c>
      <c r="Q40" s="30" t="s">
        <v>143</v>
      </c>
      <c r="R40" s="36">
        <f>D50-D51</f>
        <v>0.34100000000000003</v>
      </c>
      <c r="S40" s="36">
        <f t="shared" ref="S40:AC40" si="16">E50-E51</f>
        <v>0.34400000000000003</v>
      </c>
      <c r="T40">
        <f t="shared" si="16"/>
        <v>0.16199999999999998</v>
      </c>
      <c r="U40">
        <f t="shared" si="16"/>
        <v>0.16399999999999998</v>
      </c>
      <c r="V40">
        <f t="shared" si="16"/>
        <v>0.15800000000000003</v>
      </c>
      <c r="W40">
        <f t="shared" si="16"/>
        <v>0.15900000000000003</v>
      </c>
      <c r="X40">
        <f t="shared" si="16"/>
        <v>0.11899999999999999</v>
      </c>
      <c r="Y40">
        <f t="shared" si="16"/>
        <v>0.11600000000000001</v>
      </c>
      <c r="Z40">
        <f t="shared" si="16"/>
        <v>0.126</v>
      </c>
      <c r="AA40">
        <f t="shared" si="16"/>
        <v>0.114</v>
      </c>
      <c r="AB40">
        <f t="shared" si="16"/>
        <v>0.15300000000000002</v>
      </c>
      <c r="AC40">
        <f t="shared" si="16"/>
        <v>0.123</v>
      </c>
    </row>
    <row r="41" spans="3:29" x14ac:dyDescent="0.25">
      <c r="C41" s="56" t="s">
        <v>140</v>
      </c>
      <c r="D41" s="28">
        <v>1.3169999999999999</v>
      </c>
      <c r="E41" s="28">
        <v>1.395</v>
      </c>
      <c r="F41" s="28">
        <v>0.21199999999999999</v>
      </c>
      <c r="G41" s="28">
        <v>0.21299999999999999</v>
      </c>
      <c r="H41" s="28">
        <v>0.22600000000000001</v>
      </c>
      <c r="I41" s="28">
        <v>0.22500000000000001</v>
      </c>
      <c r="J41" s="28">
        <v>0.33500000000000002</v>
      </c>
      <c r="K41" s="28">
        <v>0.34</v>
      </c>
      <c r="L41" s="28">
        <v>0.16800000000000001</v>
      </c>
      <c r="M41" s="28">
        <v>0.17299999999999999</v>
      </c>
      <c r="N41" s="28">
        <v>0.152</v>
      </c>
      <c r="O41" s="28">
        <v>0.12</v>
      </c>
      <c r="P41" s="29">
        <v>450</v>
      </c>
      <c r="Q41" s="30" t="s">
        <v>144</v>
      </c>
      <c r="R41" s="36">
        <f>D53-D54</f>
        <v>0.28000000000000003</v>
      </c>
      <c r="S41" s="36">
        <f t="shared" ref="S41:AC41" si="17">E53-E54</f>
        <v>0.29400000000000004</v>
      </c>
      <c r="T41">
        <f t="shared" si="17"/>
        <v>0.16499999999999998</v>
      </c>
      <c r="U41">
        <f t="shared" si="17"/>
        <v>0.16699999999999998</v>
      </c>
      <c r="V41">
        <f t="shared" si="17"/>
        <v>0.14500000000000002</v>
      </c>
      <c r="W41">
        <f t="shared" si="17"/>
        <v>0.14700000000000002</v>
      </c>
      <c r="X41">
        <f t="shared" si="17"/>
        <v>0.15200000000000002</v>
      </c>
      <c r="Y41">
        <f t="shared" si="17"/>
        <v>0.13800000000000001</v>
      </c>
      <c r="Z41">
        <f t="shared" si="17"/>
        <v>0.115</v>
      </c>
      <c r="AA41">
        <f t="shared" si="17"/>
        <v>0.12100000000000001</v>
      </c>
      <c r="AB41">
        <f t="shared" si="17"/>
        <v>0.15699999999999997</v>
      </c>
      <c r="AC41">
        <f t="shared" si="17"/>
        <v>0.128</v>
      </c>
    </row>
    <row r="42" spans="3:29" x14ac:dyDescent="0.25">
      <c r="C42" s="57"/>
      <c r="D42" s="32">
        <v>5.6000000000000001E-2</v>
      </c>
      <c r="E42" s="32">
        <v>5.7000000000000002E-2</v>
      </c>
      <c r="F42" s="32">
        <v>4.3999999999999997E-2</v>
      </c>
      <c r="G42" s="32">
        <v>4.2999999999999997E-2</v>
      </c>
      <c r="H42" s="32">
        <v>4.2999999999999997E-2</v>
      </c>
      <c r="I42" s="32">
        <v>4.3999999999999997E-2</v>
      </c>
      <c r="J42" s="32">
        <v>4.5999999999999999E-2</v>
      </c>
      <c r="K42" s="32">
        <v>4.4999999999999998E-2</v>
      </c>
      <c r="L42" s="32">
        <v>4.2000000000000003E-2</v>
      </c>
      <c r="M42" s="32">
        <v>4.2999999999999997E-2</v>
      </c>
      <c r="N42" s="32">
        <v>4.1000000000000002E-2</v>
      </c>
      <c r="O42" s="32">
        <v>4.2000000000000003E-2</v>
      </c>
      <c r="P42" s="29">
        <v>540</v>
      </c>
      <c r="Q42" s="30" t="s">
        <v>145</v>
      </c>
      <c r="R42" s="36">
        <f>D56-D57</f>
        <v>1.3999999999999992E-2</v>
      </c>
      <c r="S42" s="36">
        <f t="shared" ref="S42" si="18">E56-E57</f>
        <v>4.3999999999999997E-2</v>
      </c>
      <c r="T42">
        <f>F56-F57</f>
        <v>0.17699999999999999</v>
      </c>
      <c r="U42">
        <f t="shared" ref="U42:AC42" si="19">G56-G57</f>
        <v>0.16399999999999998</v>
      </c>
      <c r="V42">
        <f t="shared" si="19"/>
        <v>0.15500000000000003</v>
      </c>
      <c r="W42">
        <f t="shared" si="19"/>
        <v>0.15500000000000003</v>
      </c>
      <c r="X42">
        <f t="shared" si="19"/>
        <v>0.15600000000000003</v>
      </c>
      <c r="Y42">
        <f t="shared" si="19"/>
        <v>0.152</v>
      </c>
      <c r="Z42">
        <f t="shared" si="19"/>
        <v>0.12999999999999998</v>
      </c>
      <c r="AA42">
        <f t="shared" si="19"/>
        <v>0.13799999999999998</v>
      </c>
      <c r="AB42">
        <f t="shared" si="19"/>
        <v>0.184</v>
      </c>
      <c r="AC42">
        <f t="shared" si="19"/>
        <v>0.183</v>
      </c>
    </row>
    <row r="43" spans="3:29" x14ac:dyDescent="0.25">
      <c r="C43" s="58"/>
      <c r="D43" s="33">
        <v>4.2999999999999997E-2</v>
      </c>
      <c r="E43" s="33">
        <v>4.3999999999999997E-2</v>
      </c>
      <c r="F43" s="33">
        <v>4.2000000000000003E-2</v>
      </c>
      <c r="G43" s="33">
        <v>4.1000000000000002E-2</v>
      </c>
      <c r="H43" s="33">
        <v>4.1000000000000002E-2</v>
      </c>
      <c r="I43" s="33">
        <v>4.2000000000000003E-2</v>
      </c>
      <c r="J43" s="33">
        <v>4.2999999999999997E-2</v>
      </c>
      <c r="K43" s="33">
        <v>4.2000000000000003E-2</v>
      </c>
      <c r="L43" s="33">
        <v>4.1000000000000002E-2</v>
      </c>
      <c r="M43" s="33">
        <v>4.1000000000000002E-2</v>
      </c>
      <c r="N43" s="33">
        <v>0.04</v>
      </c>
      <c r="O43" s="33">
        <v>4.1000000000000002E-2</v>
      </c>
      <c r="P43" s="29">
        <v>570</v>
      </c>
    </row>
    <row r="44" spans="3:29" x14ac:dyDescent="0.25">
      <c r="C44" s="56" t="s">
        <v>141</v>
      </c>
      <c r="D44" s="28">
        <v>0.80400000000000005</v>
      </c>
      <c r="E44" s="28">
        <v>0.84</v>
      </c>
      <c r="F44" s="28">
        <v>0.19800000000000001</v>
      </c>
      <c r="G44" s="28">
        <v>0.2</v>
      </c>
      <c r="H44" s="28">
        <v>0.21199999999999999</v>
      </c>
      <c r="I44" s="28">
        <v>0.221</v>
      </c>
      <c r="J44" s="28">
        <v>0.434</v>
      </c>
      <c r="K44" s="28">
        <v>0.441</v>
      </c>
      <c r="L44" s="28">
        <v>0.20699999999999999</v>
      </c>
      <c r="M44" s="28">
        <v>0.20699999999999999</v>
      </c>
      <c r="N44" s="28">
        <v>0.17499999999999999</v>
      </c>
      <c r="O44" s="28">
        <v>0.16400000000000001</v>
      </c>
      <c r="P44" s="29">
        <v>450</v>
      </c>
    </row>
    <row r="45" spans="3:29" x14ac:dyDescent="0.25">
      <c r="C45" s="57"/>
      <c r="D45" s="32">
        <v>0.05</v>
      </c>
      <c r="E45" s="32">
        <v>5.2999999999999999E-2</v>
      </c>
      <c r="F45" s="32">
        <v>4.2999999999999997E-2</v>
      </c>
      <c r="G45" s="32">
        <v>4.3999999999999997E-2</v>
      </c>
      <c r="H45" s="32">
        <v>4.2999999999999997E-2</v>
      </c>
      <c r="I45" s="32">
        <v>4.7E-2</v>
      </c>
      <c r="J45" s="32">
        <v>4.9000000000000002E-2</v>
      </c>
      <c r="K45" s="32">
        <v>5.1999999999999998E-2</v>
      </c>
      <c r="L45" s="32">
        <v>4.5999999999999999E-2</v>
      </c>
      <c r="M45" s="32">
        <v>4.4999999999999998E-2</v>
      </c>
      <c r="N45" s="32">
        <v>4.2999999999999997E-2</v>
      </c>
      <c r="O45" s="32">
        <v>4.2000000000000003E-2</v>
      </c>
      <c r="P45" s="29">
        <v>540</v>
      </c>
    </row>
    <row r="46" spans="3:29" x14ac:dyDescent="0.25">
      <c r="C46" s="58"/>
      <c r="D46" s="33">
        <v>4.2999999999999997E-2</v>
      </c>
      <c r="E46" s="33">
        <v>4.4999999999999998E-2</v>
      </c>
      <c r="F46" s="33">
        <v>4.2000000000000003E-2</v>
      </c>
      <c r="G46" s="33">
        <v>4.2999999999999997E-2</v>
      </c>
      <c r="H46" s="33">
        <v>4.1000000000000002E-2</v>
      </c>
      <c r="I46" s="33">
        <v>4.4999999999999998E-2</v>
      </c>
      <c r="J46" s="33">
        <v>4.4999999999999998E-2</v>
      </c>
      <c r="K46" s="33">
        <v>4.8000000000000001E-2</v>
      </c>
      <c r="L46" s="33">
        <v>4.3999999999999997E-2</v>
      </c>
      <c r="M46" s="33">
        <v>4.3999999999999997E-2</v>
      </c>
      <c r="N46" s="33">
        <v>4.2000000000000003E-2</v>
      </c>
      <c r="O46" s="33">
        <v>4.1000000000000002E-2</v>
      </c>
      <c r="P46" s="29">
        <v>570</v>
      </c>
    </row>
    <row r="47" spans="3:29" x14ac:dyDescent="0.25">
      <c r="C47" s="56" t="s">
        <v>142</v>
      </c>
      <c r="D47" s="28">
        <v>0.53600000000000003</v>
      </c>
      <c r="E47" s="28">
        <v>0.53900000000000003</v>
      </c>
      <c r="F47" s="28">
        <v>0.20100000000000001</v>
      </c>
      <c r="G47" s="28">
        <v>0.20100000000000001</v>
      </c>
      <c r="H47" s="28">
        <v>0.20599999999999999</v>
      </c>
      <c r="I47" s="28">
        <v>0.21299999999999999</v>
      </c>
      <c r="J47" s="28">
        <v>0.17199999999999999</v>
      </c>
      <c r="K47" s="28">
        <v>0.16</v>
      </c>
      <c r="L47" s="28">
        <v>0.193</v>
      </c>
      <c r="M47" s="28">
        <v>0.2</v>
      </c>
      <c r="N47" s="28">
        <v>0.19400000000000001</v>
      </c>
      <c r="O47" s="28">
        <v>0.14899999999999999</v>
      </c>
      <c r="P47" s="29">
        <v>450</v>
      </c>
    </row>
    <row r="48" spans="3:29" x14ac:dyDescent="0.25">
      <c r="C48" s="57"/>
      <c r="D48" s="32">
        <v>4.8000000000000001E-2</v>
      </c>
      <c r="E48" s="32">
        <v>4.7E-2</v>
      </c>
      <c r="F48" s="32">
        <v>4.3999999999999997E-2</v>
      </c>
      <c r="G48" s="32">
        <v>4.3999999999999997E-2</v>
      </c>
      <c r="H48" s="32">
        <v>4.3999999999999997E-2</v>
      </c>
      <c r="I48" s="32">
        <v>4.3999999999999997E-2</v>
      </c>
      <c r="J48" s="32">
        <v>4.7E-2</v>
      </c>
      <c r="K48" s="32">
        <v>4.8000000000000001E-2</v>
      </c>
      <c r="L48" s="32">
        <v>4.5999999999999999E-2</v>
      </c>
      <c r="M48" s="32">
        <v>4.3999999999999997E-2</v>
      </c>
      <c r="N48" s="32">
        <v>4.8000000000000001E-2</v>
      </c>
      <c r="O48" s="32">
        <v>4.2999999999999997E-2</v>
      </c>
      <c r="P48" s="29">
        <v>540</v>
      </c>
    </row>
    <row r="49" spans="3:29" x14ac:dyDescent="0.25">
      <c r="C49" s="58"/>
      <c r="D49" s="33">
        <v>4.2999999999999997E-2</v>
      </c>
      <c r="E49" s="33">
        <v>4.2000000000000003E-2</v>
      </c>
      <c r="F49" s="33">
        <v>4.2999999999999997E-2</v>
      </c>
      <c r="G49" s="33">
        <v>4.2000000000000003E-2</v>
      </c>
      <c r="H49" s="33">
        <v>4.2999999999999997E-2</v>
      </c>
      <c r="I49" s="33">
        <v>4.2000000000000003E-2</v>
      </c>
      <c r="J49" s="33">
        <v>4.4999999999999998E-2</v>
      </c>
      <c r="K49" s="33">
        <v>4.5999999999999999E-2</v>
      </c>
      <c r="L49" s="33">
        <v>4.3999999999999997E-2</v>
      </c>
      <c r="M49" s="33">
        <v>4.2000000000000003E-2</v>
      </c>
      <c r="N49" s="33">
        <v>4.5999999999999999E-2</v>
      </c>
      <c r="O49" s="33">
        <v>4.2000000000000003E-2</v>
      </c>
      <c r="P49" s="29">
        <v>570</v>
      </c>
    </row>
    <row r="50" spans="3:29" x14ac:dyDescent="0.25">
      <c r="C50" s="56" t="s">
        <v>143</v>
      </c>
      <c r="D50" s="28">
        <v>0.38600000000000001</v>
      </c>
      <c r="E50" s="28">
        <v>0.38800000000000001</v>
      </c>
      <c r="F50" s="28">
        <v>0.20599999999999999</v>
      </c>
      <c r="G50" s="28">
        <v>0.20899999999999999</v>
      </c>
      <c r="H50" s="28">
        <v>0.20300000000000001</v>
      </c>
      <c r="I50" s="28">
        <v>0.20200000000000001</v>
      </c>
      <c r="J50" s="28">
        <v>0.161</v>
      </c>
      <c r="K50" s="28">
        <v>0.159</v>
      </c>
      <c r="L50" s="28">
        <v>0.17100000000000001</v>
      </c>
      <c r="M50" s="28">
        <v>0.158</v>
      </c>
      <c r="N50" s="28">
        <v>0.19700000000000001</v>
      </c>
      <c r="O50" s="28">
        <v>0.16500000000000001</v>
      </c>
      <c r="P50" s="29">
        <v>450</v>
      </c>
    </row>
    <row r="51" spans="3:29" x14ac:dyDescent="0.25">
      <c r="C51" s="57"/>
      <c r="D51" s="32">
        <v>4.4999999999999998E-2</v>
      </c>
      <c r="E51" s="32">
        <v>4.3999999999999997E-2</v>
      </c>
      <c r="F51" s="32">
        <v>4.3999999999999997E-2</v>
      </c>
      <c r="G51" s="32">
        <v>4.4999999999999998E-2</v>
      </c>
      <c r="H51" s="32">
        <v>4.4999999999999998E-2</v>
      </c>
      <c r="I51" s="32">
        <v>4.2999999999999997E-2</v>
      </c>
      <c r="J51" s="32">
        <v>4.2000000000000003E-2</v>
      </c>
      <c r="K51" s="32">
        <v>4.2999999999999997E-2</v>
      </c>
      <c r="L51" s="32">
        <v>4.4999999999999998E-2</v>
      </c>
      <c r="M51" s="32">
        <v>4.3999999999999997E-2</v>
      </c>
      <c r="N51" s="32">
        <v>4.3999999999999997E-2</v>
      </c>
      <c r="O51" s="32">
        <v>4.2000000000000003E-2</v>
      </c>
      <c r="P51" s="29">
        <v>540</v>
      </c>
    </row>
    <row r="52" spans="3:29" x14ac:dyDescent="0.25">
      <c r="C52" s="58"/>
      <c r="D52" s="33">
        <v>4.2000000000000003E-2</v>
      </c>
      <c r="E52" s="33">
        <v>4.1000000000000002E-2</v>
      </c>
      <c r="F52" s="33">
        <v>4.2000000000000003E-2</v>
      </c>
      <c r="G52" s="33">
        <v>4.2999999999999997E-2</v>
      </c>
      <c r="H52" s="33">
        <v>4.3999999999999997E-2</v>
      </c>
      <c r="I52" s="33">
        <v>4.1000000000000002E-2</v>
      </c>
      <c r="J52" s="33">
        <v>4.1000000000000002E-2</v>
      </c>
      <c r="K52" s="33">
        <v>4.2000000000000003E-2</v>
      </c>
      <c r="L52" s="33">
        <v>4.3999999999999997E-2</v>
      </c>
      <c r="M52" s="33">
        <v>4.2000000000000003E-2</v>
      </c>
      <c r="N52" s="33">
        <v>4.2999999999999997E-2</v>
      </c>
      <c r="O52" s="33">
        <v>4.1000000000000002E-2</v>
      </c>
      <c r="P52" s="29">
        <v>570</v>
      </c>
    </row>
    <row r="53" spans="3:29" x14ac:dyDescent="0.25">
      <c r="C53" s="56" t="s">
        <v>144</v>
      </c>
      <c r="D53" s="28">
        <v>0.32600000000000001</v>
      </c>
      <c r="E53" s="28">
        <v>0.33800000000000002</v>
      </c>
      <c r="F53" s="28">
        <v>0.20899999999999999</v>
      </c>
      <c r="G53" s="28">
        <v>0.21</v>
      </c>
      <c r="H53" s="28">
        <v>0.189</v>
      </c>
      <c r="I53" s="28">
        <v>0.192</v>
      </c>
      <c r="J53" s="28">
        <v>0.2</v>
      </c>
      <c r="K53" s="28">
        <v>0.183</v>
      </c>
      <c r="L53" s="28">
        <v>0.159</v>
      </c>
      <c r="M53" s="28">
        <v>0.16500000000000001</v>
      </c>
      <c r="N53" s="28">
        <v>0.20399999999999999</v>
      </c>
      <c r="O53" s="28">
        <v>0.17</v>
      </c>
      <c r="P53" s="29">
        <v>450</v>
      </c>
    </row>
    <row r="54" spans="3:29" x14ac:dyDescent="0.25">
      <c r="C54" s="57"/>
      <c r="D54" s="32">
        <v>4.5999999999999999E-2</v>
      </c>
      <c r="E54" s="32">
        <v>4.3999999999999997E-2</v>
      </c>
      <c r="F54" s="32">
        <v>4.3999999999999997E-2</v>
      </c>
      <c r="G54" s="32">
        <v>4.2999999999999997E-2</v>
      </c>
      <c r="H54" s="32">
        <v>4.3999999999999997E-2</v>
      </c>
      <c r="I54" s="32">
        <v>4.4999999999999998E-2</v>
      </c>
      <c r="J54" s="32">
        <v>4.8000000000000001E-2</v>
      </c>
      <c r="K54" s="32">
        <v>4.4999999999999998E-2</v>
      </c>
      <c r="L54" s="32">
        <v>4.3999999999999997E-2</v>
      </c>
      <c r="M54" s="32">
        <v>4.3999999999999997E-2</v>
      </c>
      <c r="N54" s="32">
        <v>4.7E-2</v>
      </c>
      <c r="O54" s="32">
        <v>4.2000000000000003E-2</v>
      </c>
      <c r="P54" s="29">
        <v>540</v>
      </c>
    </row>
    <row r="55" spans="3:29" x14ac:dyDescent="0.25">
      <c r="C55" s="58"/>
      <c r="D55" s="33">
        <v>4.2999999999999997E-2</v>
      </c>
      <c r="E55" s="33">
        <v>4.1000000000000002E-2</v>
      </c>
      <c r="F55" s="33">
        <v>4.2999999999999997E-2</v>
      </c>
      <c r="G55" s="33">
        <v>4.1000000000000002E-2</v>
      </c>
      <c r="H55" s="33">
        <v>4.2999999999999997E-2</v>
      </c>
      <c r="I55" s="33">
        <v>4.2999999999999997E-2</v>
      </c>
      <c r="J55" s="33">
        <v>4.5999999999999999E-2</v>
      </c>
      <c r="K55" s="33">
        <v>4.3999999999999997E-2</v>
      </c>
      <c r="L55" s="33">
        <v>4.2999999999999997E-2</v>
      </c>
      <c r="M55" s="33">
        <v>4.2999999999999997E-2</v>
      </c>
      <c r="N55" s="33">
        <v>4.4999999999999998E-2</v>
      </c>
      <c r="O55" s="33">
        <v>4.1000000000000002E-2</v>
      </c>
      <c r="P55" s="29">
        <v>570</v>
      </c>
    </row>
    <row r="56" spans="3:29" x14ac:dyDescent="0.25">
      <c r="C56" s="56" t="s">
        <v>145</v>
      </c>
      <c r="D56" s="28">
        <v>7.0999999999999994E-2</v>
      </c>
      <c r="E56" s="28">
        <v>8.7999999999999995E-2</v>
      </c>
      <c r="F56" s="28">
        <v>0.22</v>
      </c>
      <c r="G56" s="28">
        <v>0.20799999999999999</v>
      </c>
      <c r="H56" s="28">
        <v>0.2</v>
      </c>
      <c r="I56" s="28">
        <v>0.19800000000000001</v>
      </c>
      <c r="J56" s="28">
        <v>0.19900000000000001</v>
      </c>
      <c r="K56" s="28">
        <v>0.19400000000000001</v>
      </c>
      <c r="L56" s="28">
        <v>0.17199999999999999</v>
      </c>
      <c r="M56" s="28">
        <v>0.18</v>
      </c>
      <c r="N56" s="28">
        <v>0.22700000000000001</v>
      </c>
      <c r="O56" s="28">
        <v>0.22800000000000001</v>
      </c>
      <c r="P56" s="29">
        <v>450</v>
      </c>
    </row>
    <row r="57" spans="3:29" x14ac:dyDescent="0.25">
      <c r="C57" s="57"/>
      <c r="D57" s="32">
        <v>5.7000000000000002E-2</v>
      </c>
      <c r="E57" s="32">
        <v>4.3999999999999997E-2</v>
      </c>
      <c r="F57" s="32">
        <v>4.2999999999999997E-2</v>
      </c>
      <c r="G57" s="32">
        <v>4.3999999999999997E-2</v>
      </c>
      <c r="H57" s="32">
        <v>4.4999999999999998E-2</v>
      </c>
      <c r="I57" s="32">
        <v>4.2999999999999997E-2</v>
      </c>
      <c r="J57" s="32">
        <v>4.2999999999999997E-2</v>
      </c>
      <c r="K57" s="32">
        <v>4.2000000000000003E-2</v>
      </c>
      <c r="L57" s="32">
        <v>4.2000000000000003E-2</v>
      </c>
      <c r="M57" s="32">
        <v>4.2000000000000003E-2</v>
      </c>
      <c r="N57" s="32">
        <v>4.2999999999999997E-2</v>
      </c>
      <c r="O57" s="32">
        <v>4.4999999999999998E-2</v>
      </c>
      <c r="P57" s="29">
        <v>540</v>
      </c>
    </row>
    <row r="58" spans="3:29" x14ac:dyDescent="0.25">
      <c r="C58" s="58"/>
      <c r="D58" s="33">
        <v>5.3999999999999999E-2</v>
      </c>
      <c r="E58" s="33">
        <v>4.2000000000000003E-2</v>
      </c>
      <c r="F58" s="33">
        <v>4.1000000000000002E-2</v>
      </c>
      <c r="G58" s="33">
        <v>4.2000000000000003E-2</v>
      </c>
      <c r="H58" s="33">
        <v>4.2999999999999997E-2</v>
      </c>
      <c r="I58" s="33">
        <v>4.2000000000000003E-2</v>
      </c>
      <c r="J58" s="33">
        <v>4.1000000000000002E-2</v>
      </c>
      <c r="K58" s="33">
        <v>4.1000000000000002E-2</v>
      </c>
      <c r="L58" s="33">
        <v>4.1000000000000002E-2</v>
      </c>
      <c r="M58" s="33">
        <v>4.1000000000000002E-2</v>
      </c>
      <c r="N58" s="33">
        <v>4.2000000000000003E-2</v>
      </c>
      <c r="O58" s="33">
        <v>4.2999999999999997E-2</v>
      </c>
      <c r="P58" s="29">
        <v>570</v>
      </c>
    </row>
    <row r="62" spans="3:29" ht="26.25" x14ac:dyDescent="0.4">
      <c r="C62" s="55" t="s">
        <v>148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Q62" s="55" t="s">
        <v>149</v>
      </c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</row>
    <row r="64" spans="3:29" x14ac:dyDescent="0.25">
      <c r="C64" s="26"/>
      <c r="D64" s="27">
        <v>1</v>
      </c>
      <c r="E64" s="27">
        <v>2</v>
      </c>
      <c r="F64" s="27">
        <v>3</v>
      </c>
      <c r="G64" s="27">
        <v>4</v>
      </c>
      <c r="H64" s="27">
        <v>5</v>
      </c>
      <c r="I64" s="27">
        <v>6</v>
      </c>
      <c r="J64" s="27">
        <v>7</v>
      </c>
      <c r="K64" s="27">
        <v>8</v>
      </c>
      <c r="L64" s="27">
        <v>9</v>
      </c>
      <c r="M64" s="27">
        <v>10</v>
      </c>
      <c r="N64" s="27">
        <v>11</v>
      </c>
      <c r="O64" s="27">
        <v>12</v>
      </c>
      <c r="Q64" s="26"/>
      <c r="R64" s="27">
        <v>1</v>
      </c>
      <c r="S64" s="27">
        <v>2</v>
      </c>
      <c r="T64" s="27">
        <v>3</v>
      </c>
      <c r="U64" s="27">
        <v>4</v>
      </c>
      <c r="V64" s="27">
        <v>5</v>
      </c>
      <c r="W64" s="27">
        <v>6</v>
      </c>
      <c r="X64" s="27">
        <v>7</v>
      </c>
      <c r="Y64" s="27">
        <v>8</v>
      </c>
      <c r="Z64" s="27">
        <v>9</v>
      </c>
      <c r="AA64" s="27">
        <v>10</v>
      </c>
      <c r="AB64" s="27">
        <v>11</v>
      </c>
      <c r="AC64" s="27">
        <v>12</v>
      </c>
    </row>
    <row r="65" spans="3:29" x14ac:dyDescent="0.25">
      <c r="C65" s="56" t="s">
        <v>138</v>
      </c>
      <c r="D65" s="28">
        <v>2.516</v>
      </c>
      <c r="E65" s="28">
        <v>2.4550000000000001</v>
      </c>
      <c r="F65" s="28">
        <v>0.193</v>
      </c>
      <c r="G65" s="28">
        <v>0.186</v>
      </c>
      <c r="H65" s="28">
        <v>0.14599999999999999</v>
      </c>
      <c r="I65" s="28">
        <v>0.14799999999999999</v>
      </c>
      <c r="J65" s="28">
        <v>0.19500000000000001</v>
      </c>
      <c r="K65" s="28">
        <v>0.19</v>
      </c>
      <c r="L65" s="28">
        <v>0.16200000000000001</v>
      </c>
      <c r="M65" s="28">
        <v>0.16400000000000001</v>
      </c>
      <c r="N65" s="28">
        <v>0.156</v>
      </c>
      <c r="O65" s="28">
        <v>0.14599999999999999</v>
      </c>
      <c r="P65" s="29">
        <v>450</v>
      </c>
      <c r="Q65" s="30" t="s">
        <v>138</v>
      </c>
      <c r="R65" s="35">
        <f>D65-D66</f>
        <v>2.444</v>
      </c>
      <c r="S65" s="35">
        <f>E65-E66</f>
        <v>2.3850000000000002</v>
      </c>
      <c r="T65">
        <f>F65-F66</f>
        <v>0.15000000000000002</v>
      </c>
      <c r="U65">
        <f>G65-G66</f>
        <v>0.14200000000000002</v>
      </c>
      <c r="V65">
        <f t="shared" ref="V65:Z65" si="20">H65-H66</f>
        <v>0.10299999999999999</v>
      </c>
      <c r="W65">
        <f t="shared" si="20"/>
        <v>0.105</v>
      </c>
      <c r="X65">
        <f t="shared" si="20"/>
        <v>0.15200000000000002</v>
      </c>
      <c r="Y65">
        <f t="shared" si="20"/>
        <v>0.14600000000000002</v>
      </c>
      <c r="Z65">
        <f t="shared" si="20"/>
        <v>0.11900000000000001</v>
      </c>
      <c r="AA65">
        <f>M65-M66</f>
        <v>0.12100000000000001</v>
      </c>
      <c r="AB65">
        <f t="shared" ref="AB65:AC65" si="21">N65-N66</f>
        <v>0.11499999999999999</v>
      </c>
      <c r="AC65">
        <f t="shared" si="21"/>
        <v>0.10399999999999998</v>
      </c>
    </row>
    <row r="66" spans="3:29" x14ac:dyDescent="0.25">
      <c r="C66" s="57"/>
      <c r="D66" s="32">
        <v>7.1999999999999995E-2</v>
      </c>
      <c r="E66" s="32">
        <v>7.0000000000000007E-2</v>
      </c>
      <c r="F66" s="32">
        <v>4.2999999999999997E-2</v>
      </c>
      <c r="G66" s="32">
        <v>4.3999999999999997E-2</v>
      </c>
      <c r="H66" s="32">
        <v>4.2999999999999997E-2</v>
      </c>
      <c r="I66" s="32">
        <v>4.2999999999999997E-2</v>
      </c>
      <c r="J66" s="32">
        <v>4.2999999999999997E-2</v>
      </c>
      <c r="K66" s="32">
        <v>4.3999999999999997E-2</v>
      </c>
      <c r="L66" s="32">
        <v>4.2999999999999997E-2</v>
      </c>
      <c r="M66" s="32">
        <v>4.2999999999999997E-2</v>
      </c>
      <c r="N66" s="32">
        <v>4.1000000000000002E-2</v>
      </c>
      <c r="O66" s="32">
        <v>4.2000000000000003E-2</v>
      </c>
      <c r="P66" s="29">
        <v>540</v>
      </c>
      <c r="Q66" s="30" t="s">
        <v>139</v>
      </c>
      <c r="R66" s="35">
        <f>D68-D69</f>
        <v>1.6120000000000001</v>
      </c>
      <c r="S66" s="35">
        <f t="shared" ref="S66:Z66" si="22">E68-E69</f>
        <v>1.397</v>
      </c>
      <c r="T66">
        <f t="shared" si="22"/>
        <v>0.13700000000000001</v>
      </c>
      <c r="U66">
        <f t="shared" si="22"/>
        <v>0.11800000000000001</v>
      </c>
      <c r="V66">
        <f t="shared" si="22"/>
        <v>9.9999999999999992E-2</v>
      </c>
      <c r="W66">
        <f t="shared" si="22"/>
        <v>9.2999999999999999E-2</v>
      </c>
      <c r="X66">
        <f t="shared" si="22"/>
        <v>0.13499999999999998</v>
      </c>
      <c r="Y66">
        <f t="shared" si="22"/>
        <v>0.13600000000000001</v>
      </c>
      <c r="Z66">
        <f t="shared" si="22"/>
        <v>0.14800000000000002</v>
      </c>
      <c r="AA66">
        <f>M68-M69</f>
        <v>0.15100000000000002</v>
      </c>
      <c r="AB66">
        <f>N68-N69</f>
        <v>0.108</v>
      </c>
      <c r="AC66">
        <f t="shared" ref="AC66" si="23">O68-O69</f>
        <v>9.8000000000000004E-2</v>
      </c>
    </row>
    <row r="67" spans="3:29" x14ac:dyDescent="0.25">
      <c r="C67" s="58"/>
      <c r="D67" s="33">
        <v>4.8000000000000001E-2</v>
      </c>
      <c r="E67" s="33">
        <v>4.7E-2</v>
      </c>
      <c r="F67" s="33">
        <v>4.2000000000000003E-2</v>
      </c>
      <c r="G67" s="33">
        <v>4.2000000000000003E-2</v>
      </c>
      <c r="H67" s="33">
        <v>4.2000000000000003E-2</v>
      </c>
      <c r="I67" s="33">
        <v>4.1000000000000002E-2</v>
      </c>
      <c r="J67" s="33">
        <v>4.2000000000000003E-2</v>
      </c>
      <c r="K67" s="33">
        <v>4.2000000000000003E-2</v>
      </c>
      <c r="L67" s="33">
        <v>4.1000000000000002E-2</v>
      </c>
      <c r="M67" s="33">
        <v>4.1000000000000002E-2</v>
      </c>
      <c r="N67" s="33">
        <v>0.04</v>
      </c>
      <c r="O67" s="33">
        <v>0.04</v>
      </c>
      <c r="P67" s="29">
        <v>570</v>
      </c>
      <c r="Q67" s="30" t="s">
        <v>140</v>
      </c>
      <c r="R67" s="35">
        <f>D71-D72</f>
        <v>0.98599999999999999</v>
      </c>
      <c r="S67" s="35">
        <f t="shared" ref="S67:AC67" si="24">E71-E72</f>
        <v>0.876</v>
      </c>
      <c r="T67">
        <f t="shared" si="24"/>
        <v>0.12200000000000001</v>
      </c>
      <c r="U67">
        <f t="shared" si="24"/>
        <v>0.129</v>
      </c>
      <c r="V67">
        <f t="shared" si="24"/>
        <v>9.2000000000000012E-2</v>
      </c>
      <c r="W67">
        <f t="shared" si="24"/>
        <v>9.1000000000000011E-2</v>
      </c>
      <c r="X67">
        <f t="shared" si="24"/>
        <v>0.14100000000000001</v>
      </c>
      <c r="Y67">
        <f t="shared" si="24"/>
        <v>0.14300000000000002</v>
      </c>
      <c r="Z67">
        <f t="shared" si="24"/>
        <v>0.113</v>
      </c>
      <c r="AA67">
        <f t="shared" si="24"/>
        <v>0.115</v>
      </c>
      <c r="AB67">
        <f t="shared" si="24"/>
        <v>0.11799999999999999</v>
      </c>
      <c r="AC67">
        <f t="shared" si="24"/>
        <v>0.10099999999999998</v>
      </c>
    </row>
    <row r="68" spans="3:29" x14ac:dyDescent="0.25">
      <c r="C68" s="56" t="s">
        <v>139</v>
      </c>
      <c r="D68" s="28">
        <v>1.673</v>
      </c>
      <c r="E68" s="28">
        <v>1.4550000000000001</v>
      </c>
      <c r="F68" s="28">
        <v>0.182</v>
      </c>
      <c r="G68" s="28">
        <v>0.161</v>
      </c>
      <c r="H68" s="28">
        <v>0.14899999999999999</v>
      </c>
      <c r="I68" s="28">
        <v>0.13500000000000001</v>
      </c>
      <c r="J68" s="28">
        <v>0.17699999999999999</v>
      </c>
      <c r="K68" s="28">
        <v>0.17899999999999999</v>
      </c>
      <c r="L68" s="28">
        <v>0.191</v>
      </c>
      <c r="M68" s="28">
        <v>0.19400000000000001</v>
      </c>
      <c r="N68" s="28">
        <v>0.151</v>
      </c>
      <c r="O68" s="28">
        <v>0.14000000000000001</v>
      </c>
      <c r="P68" s="29">
        <v>450</v>
      </c>
      <c r="Q68" s="30" t="s">
        <v>141</v>
      </c>
      <c r="R68" s="35">
        <f>D74-D75</f>
        <v>0.58799999999999997</v>
      </c>
      <c r="S68" s="35">
        <f t="shared" ref="S68:AC68" si="25">E74-E75</f>
        <v>0.53899999999999992</v>
      </c>
      <c r="T68">
        <f t="shared" si="25"/>
        <v>0.188</v>
      </c>
      <c r="U68">
        <f t="shared" si="25"/>
        <v>0.186</v>
      </c>
      <c r="V68">
        <f t="shared" si="25"/>
        <v>9.2000000000000012E-2</v>
      </c>
      <c r="W68">
        <f t="shared" si="25"/>
        <v>9.4000000000000014E-2</v>
      </c>
      <c r="X68">
        <f t="shared" si="25"/>
        <v>0.12200000000000001</v>
      </c>
      <c r="Y68">
        <f t="shared" si="25"/>
        <v>0.11900000000000001</v>
      </c>
      <c r="Z68">
        <f t="shared" si="25"/>
        <v>0.15900000000000003</v>
      </c>
      <c r="AA68">
        <f t="shared" si="25"/>
        <v>0.16399999999999998</v>
      </c>
      <c r="AB68">
        <f t="shared" si="25"/>
        <v>9.9999999999999978E-2</v>
      </c>
      <c r="AC68">
        <f t="shared" si="25"/>
        <v>9.2999999999999999E-2</v>
      </c>
    </row>
    <row r="69" spans="3:29" x14ac:dyDescent="0.25">
      <c r="C69" s="57"/>
      <c r="D69" s="32">
        <v>6.0999999999999999E-2</v>
      </c>
      <c r="E69" s="32">
        <v>5.8000000000000003E-2</v>
      </c>
      <c r="F69" s="32">
        <v>4.4999999999999998E-2</v>
      </c>
      <c r="G69" s="32">
        <v>4.2999999999999997E-2</v>
      </c>
      <c r="H69" s="32">
        <v>4.9000000000000002E-2</v>
      </c>
      <c r="I69" s="32">
        <v>4.2000000000000003E-2</v>
      </c>
      <c r="J69" s="32">
        <v>4.2000000000000003E-2</v>
      </c>
      <c r="K69" s="32">
        <v>4.2999999999999997E-2</v>
      </c>
      <c r="L69" s="32">
        <v>4.2999999999999997E-2</v>
      </c>
      <c r="M69" s="32">
        <v>4.2999999999999997E-2</v>
      </c>
      <c r="N69" s="32">
        <v>4.2999999999999997E-2</v>
      </c>
      <c r="O69" s="32">
        <v>4.2000000000000003E-2</v>
      </c>
      <c r="P69" s="29">
        <v>540</v>
      </c>
      <c r="Q69" s="30" t="s">
        <v>142</v>
      </c>
      <c r="R69" s="35">
        <f>D77-D78</f>
        <v>0.373</v>
      </c>
      <c r="S69" s="35">
        <f t="shared" ref="S69:AB69" si="26">E77-E78</f>
        <v>0.33600000000000002</v>
      </c>
      <c r="T69">
        <f t="shared" si="26"/>
        <v>0.32400000000000001</v>
      </c>
      <c r="U69">
        <f t="shared" si="26"/>
        <v>0.32300000000000001</v>
      </c>
      <c r="V69">
        <f t="shared" si="26"/>
        <v>0.106</v>
      </c>
      <c r="W69">
        <f t="shared" si="26"/>
        <v>0.105</v>
      </c>
      <c r="X69">
        <f t="shared" si="26"/>
        <v>8.3999999999999991E-2</v>
      </c>
      <c r="Y69">
        <f t="shared" si="26"/>
        <v>7.4999999999999997E-2</v>
      </c>
      <c r="Z69">
        <f t="shared" si="26"/>
        <v>0.16199999999999998</v>
      </c>
      <c r="AA69">
        <f t="shared" si="26"/>
        <v>0.15500000000000003</v>
      </c>
      <c r="AB69">
        <f t="shared" si="26"/>
        <v>8.6000000000000007E-2</v>
      </c>
      <c r="AC69">
        <f>O77-O78</f>
        <v>8.6999999999999994E-2</v>
      </c>
    </row>
    <row r="70" spans="3:29" x14ac:dyDescent="0.25">
      <c r="C70" s="58"/>
      <c r="D70" s="33">
        <v>4.4999999999999998E-2</v>
      </c>
      <c r="E70" s="33">
        <v>4.3999999999999997E-2</v>
      </c>
      <c r="F70" s="33">
        <v>4.3999999999999997E-2</v>
      </c>
      <c r="G70" s="33">
        <v>4.2000000000000003E-2</v>
      </c>
      <c r="H70" s="33">
        <v>4.7E-2</v>
      </c>
      <c r="I70" s="33">
        <v>4.1000000000000002E-2</v>
      </c>
      <c r="J70" s="33">
        <v>4.1000000000000002E-2</v>
      </c>
      <c r="K70" s="33">
        <v>4.1000000000000002E-2</v>
      </c>
      <c r="L70" s="33">
        <v>4.1000000000000002E-2</v>
      </c>
      <c r="M70" s="33">
        <v>4.1000000000000002E-2</v>
      </c>
      <c r="N70" s="33">
        <v>4.2000000000000003E-2</v>
      </c>
      <c r="O70" s="33">
        <v>4.1000000000000002E-2</v>
      </c>
      <c r="P70" s="29">
        <v>570</v>
      </c>
      <c r="Q70" s="30" t="s">
        <v>143</v>
      </c>
      <c r="R70" s="35">
        <f>D80-D81</f>
        <v>0.26</v>
      </c>
      <c r="S70" s="35">
        <f t="shared" ref="S70:T70" si="27">E80-E81</f>
        <v>0.23200000000000004</v>
      </c>
      <c r="T70">
        <f t="shared" si="27"/>
        <v>0.248</v>
      </c>
      <c r="U70">
        <f>G80-G81</f>
        <v>0.25</v>
      </c>
      <c r="V70">
        <f t="shared" ref="V70" si="28">H80-H81</f>
        <v>0.104</v>
      </c>
      <c r="W70">
        <f>I80-I81</f>
        <v>0.10099999999999998</v>
      </c>
      <c r="X70">
        <f t="shared" ref="X70:AC70" si="29">J80-J81</f>
        <v>9.0000000000000011E-2</v>
      </c>
      <c r="Y70">
        <f t="shared" si="29"/>
        <v>8.4000000000000005E-2</v>
      </c>
      <c r="Z70">
        <f t="shared" si="29"/>
        <v>0.15700000000000003</v>
      </c>
      <c r="AA70">
        <f t="shared" si="29"/>
        <v>0.16599999999999998</v>
      </c>
      <c r="AB70">
        <f t="shared" si="29"/>
        <v>8.6000000000000007E-2</v>
      </c>
      <c r="AC70">
        <f t="shared" si="29"/>
        <v>8.299999999999999E-2</v>
      </c>
    </row>
    <row r="71" spans="3:29" x14ac:dyDescent="0.25">
      <c r="C71" s="56" t="s">
        <v>140</v>
      </c>
      <c r="D71" s="28">
        <v>1.04</v>
      </c>
      <c r="E71" s="28">
        <v>0.92700000000000005</v>
      </c>
      <c r="F71" s="28">
        <v>0.16500000000000001</v>
      </c>
      <c r="G71" s="28">
        <v>0.17299999999999999</v>
      </c>
      <c r="H71" s="28">
        <v>0.13500000000000001</v>
      </c>
      <c r="I71" s="28">
        <v>0.13400000000000001</v>
      </c>
      <c r="J71" s="28">
        <v>0.184</v>
      </c>
      <c r="K71" s="28">
        <v>0.186</v>
      </c>
      <c r="L71" s="28">
        <v>0.157</v>
      </c>
      <c r="M71" s="28">
        <v>0.159</v>
      </c>
      <c r="N71" s="28">
        <v>0.16</v>
      </c>
      <c r="O71" s="28">
        <v>0.14299999999999999</v>
      </c>
      <c r="P71" s="29">
        <v>450</v>
      </c>
      <c r="Q71" s="30" t="s">
        <v>144</v>
      </c>
      <c r="R71" s="35">
        <f>D83-D84</f>
        <v>0.21700000000000003</v>
      </c>
      <c r="S71" s="35">
        <f t="shared" ref="S71:AC71" si="30">E83-E84</f>
        <v>0.21800000000000003</v>
      </c>
      <c r="T71">
        <f t="shared" si="30"/>
        <v>0.311</v>
      </c>
      <c r="U71">
        <f t="shared" si="30"/>
        <v>0.33100000000000002</v>
      </c>
      <c r="V71">
        <f t="shared" si="30"/>
        <v>8.7000000000000008E-2</v>
      </c>
      <c r="W71">
        <f t="shared" si="30"/>
        <v>9.7000000000000003E-2</v>
      </c>
      <c r="X71">
        <f t="shared" si="30"/>
        <v>8.1000000000000003E-2</v>
      </c>
      <c r="Y71">
        <f t="shared" si="30"/>
        <v>0.08</v>
      </c>
      <c r="Z71">
        <f t="shared" si="30"/>
        <v>0.16599999999999998</v>
      </c>
      <c r="AA71">
        <f t="shared" si="30"/>
        <v>0.15300000000000002</v>
      </c>
      <c r="AB71">
        <f t="shared" si="30"/>
        <v>8.4000000000000005E-2</v>
      </c>
      <c r="AC71">
        <f t="shared" si="30"/>
        <v>8.0999999999999989E-2</v>
      </c>
    </row>
    <row r="72" spans="3:29" x14ac:dyDescent="0.25">
      <c r="C72" s="57"/>
      <c r="D72" s="32">
        <v>5.3999999999999999E-2</v>
      </c>
      <c r="E72" s="32">
        <v>5.0999999999999997E-2</v>
      </c>
      <c r="F72" s="32">
        <v>4.2999999999999997E-2</v>
      </c>
      <c r="G72" s="32">
        <v>4.3999999999999997E-2</v>
      </c>
      <c r="H72" s="32">
        <v>4.2999999999999997E-2</v>
      </c>
      <c r="I72" s="32">
        <v>4.2999999999999997E-2</v>
      </c>
      <c r="J72" s="32">
        <v>4.2999999999999997E-2</v>
      </c>
      <c r="K72" s="32">
        <v>4.2999999999999997E-2</v>
      </c>
      <c r="L72" s="32">
        <v>4.3999999999999997E-2</v>
      </c>
      <c r="M72" s="32">
        <v>4.3999999999999997E-2</v>
      </c>
      <c r="N72" s="32">
        <v>4.2000000000000003E-2</v>
      </c>
      <c r="O72" s="32">
        <v>4.2000000000000003E-2</v>
      </c>
      <c r="P72" s="29">
        <v>540</v>
      </c>
      <c r="Q72" s="30" t="s">
        <v>145</v>
      </c>
      <c r="R72" s="35">
        <f>D86-D87</f>
        <v>3.6000000000000004E-2</v>
      </c>
      <c r="S72" s="35">
        <f t="shared" ref="S72" si="31">E86-E87</f>
        <v>3.3000000000000002E-2</v>
      </c>
      <c r="T72">
        <f>F86-F87</f>
        <v>0.318</v>
      </c>
      <c r="U72">
        <f t="shared" ref="U72" si="32">G86-G87</f>
        <v>0.32600000000000001</v>
      </c>
      <c r="V72">
        <f>H86-H87</f>
        <v>0.105</v>
      </c>
      <c r="W72">
        <f t="shared" ref="W72:AC72" si="33">I86-I87</f>
        <v>9.7000000000000017E-2</v>
      </c>
      <c r="X72">
        <f t="shared" si="33"/>
        <v>9.1999999999999998E-2</v>
      </c>
      <c r="Y72">
        <f t="shared" si="33"/>
        <v>8.7000000000000008E-2</v>
      </c>
      <c r="Z72">
        <f t="shared" si="33"/>
        <v>0.16999999999999998</v>
      </c>
      <c r="AA72">
        <f t="shared" si="33"/>
        <v>0.17599999999999999</v>
      </c>
      <c r="AB72">
        <f t="shared" si="33"/>
        <v>8.299999999999999E-2</v>
      </c>
      <c r="AC72">
        <f t="shared" si="33"/>
        <v>8.3999999999999991E-2</v>
      </c>
    </row>
    <row r="73" spans="3:29" x14ac:dyDescent="0.25">
      <c r="C73" s="58"/>
      <c r="D73" s="33">
        <v>4.3999999999999997E-2</v>
      </c>
      <c r="E73" s="33">
        <v>4.2999999999999997E-2</v>
      </c>
      <c r="F73" s="33">
        <v>4.1000000000000002E-2</v>
      </c>
      <c r="G73" s="33">
        <v>4.2999999999999997E-2</v>
      </c>
      <c r="H73" s="33">
        <v>4.2000000000000003E-2</v>
      </c>
      <c r="I73" s="33">
        <v>4.2000000000000003E-2</v>
      </c>
      <c r="J73" s="33">
        <v>4.2000000000000003E-2</v>
      </c>
      <c r="K73" s="33">
        <v>4.1000000000000002E-2</v>
      </c>
      <c r="L73" s="33">
        <v>4.2999999999999997E-2</v>
      </c>
      <c r="M73" s="33">
        <v>4.2000000000000003E-2</v>
      </c>
      <c r="N73" s="33">
        <v>4.1000000000000002E-2</v>
      </c>
      <c r="O73" s="33">
        <v>0.04</v>
      </c>
      <c r="P73" s="29">
        <v>570</v>
      </c>
    </row>
    <row r="74" spans="3:29" x14ac:dyDescent="0.25">
      <c r="C74" s="56" t="s">
        <v>141</v>
      </c>
      <c r="D74" s="28">
        <v>0.63700000000000001</v>
      </c>
      <c r="E74" s="28">
        <v>0.58599999999999997</v>
      </c>
      <c r="F74" s="28">
        <v>0.23300000000000001</v>
      </c>
      <c r="G74" s="28">
        <v>0.23</v>
      </c>
      <c r="H74" s="28">
        <v>0.13500000000000001</v>
      </c>
      <c r="I74" s="28">
        <v>0.13700000000000001</v>
      </c>
      <c r="J74" s="28">
        <v>0.16500000000000001</v>
      </c>
      <c r="K74" s="28">
        <v>0.16200000000000001</v>
      </c>
      <c r="L74" s="28">
        <v>0.20300000000000001</v>
      </c>
      <c r="M74" s="28">
        <v>0.20699999999999999</v>
      </c>
      <c r="N74" s="28">
        <v>0.14199999999999999</v>
      </c>
      <c r="O74" s="28">
        <v>0.13500000000000001</v>
      </c>
      <c r="P74" s="29">
        <v>450</v>
      </c>
    </row>
    <row r="75" spans="3:29" x14ac:dyDescent="0.25">
      <c r="C75" s="57"/>
      <c r="D75" s="32">
        <v>4.9000000000000002E-2</v>
      </c>
      <c r="E75" s="32">
        <v>4.7E-2</v>
      </c>
      <c r="F75" s="32">
        <v>4.4999999999999998E-2</v>
      </c>
      <c r="G75" s="32">
        <v>4.3999999999999997E-2</v>
      </c>
      <c r="H75" s="32">
        <v>4.2999999999999997E-2</v>
      </c>
      <c r="I75" s="32">
        <v>4.2999999999999997E-2</v>
      </c>
      <c r="J75" s="32">
        <v>4.2999999999999997E-2</v>
      </c>
      <c r="K75" s="32">
        <v>4.2999999999999997E-2</v>
      </c>
      <c r="L75" s="32">
        <v>4.3999999999999997E-2</v>
      </c>
      <c r="M75" s="32">
        <v>4.2999999999999997E-2</v>
      </c>
      <c r="N75" s="32">
        <v>4.2000000000000003E-2</v>
      </c>
      <c r="O75" s="32">
        <v>4.2000000000000003E-2</v>
      </c>
      <c r="P75" s="29">
        <v>540</v>
      </c>
    </row>
    <row r="76" spans="3:29" x14ac:dyDescent="0.25">
      <c r="C76" s="58"/>
      <c r="D76" s="33">
        <v>4.2999999999999997E-2</v>
      </c>
      <c r="E76" s="33">
        <v>4.2000000000000003E-2</v>
      </c>
      <c r="F76" s="33">
        <v>4.2999999999999997E-2</v>
      </c>
      <c r="G76" s="33">
        <v>4.2000000000000003E-2</v>
      </c>
      <c r="H76" s="33">
        <v>4.1000000000000002E-2</v>
      </c>
      <c r="I76" s="33">
        <v>4.2000000000000003E-2</v>
      </c>
      <c r="J76" s="33">
        <v>4.2000000000000003E-2</v>
      </c>
      <c r="K76" s="33">
        <v>4.1000000000000002E-2</v>
      </c>
      <c r="L76" s="33">
        <v>4.2000000000000003E-2</v>
      </c>
      <c r="M76" s="33">
        <v>4.1000000000000002E-2</v>
      </c>
      <c r="N76" s="33">
        <v>4.1000000000000002E-2</v>
      </c>
      <c r="O76" s="33">
        <v>4.1000000000000002E-2</v>
      </c>
      <c r="P76" s="29">
        <v>570</v>
      </c>
    </row>
    <row r="77" spans="3:29" x14ac:dyDescent="0.25">
      <c r="C77" s="56" t="s">
        <v>142</v>
      </c>
      <c r="D77" s="28">
        <v>0.42</v>
      </c>
      <c r="E77" s="28">
        <v>0.38100000000000001</v>
      </c>
      <c r="F77" s="28">
        <v>0.36899999999999999</v>
      </c>
      <c r="G77" s="28">
        <v>0.36799999999999999</v>
      </c>
      <c r="H77" s="28">
        <v>0.14899999999999999</v>
      </c>
      <c r="I77" s="28">
        <v>0.14899999999999999</v>
      </c>
      <c r="J77" s="28">
        <v>0.126</v>
      </c>
      <c r="K77" s="28">
        <v>0.11799999999999999</v>
      </c>
      <c r="L77" s="28">
        <v>0.20499999999999999</v>
      </c>
      <c r="M77" s="28">
        <v>0.19800000000000001</v>
      </c>
      <c r="N77" s="28">
        <v>0.129</v>
      </c>
      <c r="O77" s="28">
        <v>0.129</v>
      </c>
      <c r="P77" s="29">
        <v>450</v>
      </c>
    </row>
    <row r="78" spans="3:29" x14ac:dyDescent="0.25">
      <c r="C78" s="57"/>
      <c r="D78" s="32">
        <v>4.7E-2</v>
      </c>
      <c r="E78" s="32">
        <v>4.4999999999999998E-2</v>
      </c>
      <c r="F78" s="32">
        <v>4.4999999999999998E-2</v>
      </c>
      <c r="G78" s="32">
        <v>4.4999999999999998E-2</v>
      </c>
      <c r="H78" s="32">
        <v>4.2999999999999997E-2</v>
      </c>
      <c r="I78" s="32">
        <v>4.3999999999999997E-2</v>
      </c>
      <c r="J78" s="32">
        <v>4.2000000000000003E-2</v>
      </c>
      <c r="K78" s="32">
        <v>4.2999999999999997E-2</v>
      </c>
      <c r="L78" s="32">
        <v>4.2999999999999997E-2</v>
      </c>
      <c r="M78" s="32">
        <v>4.2999999999999997E-2</v>
      </c>
      <c r="N78" s="32">
        <v>4.2999999999999997E-2</v>
      </c>
      <c r="O78" s="32">
        <v>4.2000000000000003E-2</v>
      </c>
      <c r="P78" s="29">
        <v>540</v>
      </c>
    </row>
    <row r="79" spans="3:29" x14ac:dyDescent="0.25">
      <c r="C79" s="58"/>
      <c r="D79" s="33">
        <v>4.2999999999999997E-2</v>
      </c>
      <c r="E79" s="33">
        <v>4.2000000000000003E-2</v>
      </c>
      <c r="F79" s="33">
        <v>4.2000000000000003E-2</v>
      </c>
      <c r="G79" s="33">
        <v>4.2000000000000003E-2</v>
      </c>
      <c r="H79" s="33">
        <v>4.2000000000000003E-2</v>
      </c>
      <c r="I79" s="33">
        <v>4.2999999999999997E-2</v>
      </c>
      <c r="J79" s="33">
        <v>4.1000000000000002E-2</v>
      </c>
      <c r="K79" s="33">
        <v>4.2000000000000003E-2</v>
      </c>
      <c r="L79" s="33">
        <v>4.1000000000000002E-2</v>
      </c>
      <c r="M79" s="33">
        <v>4.1000000000000002E-2</v>
      </c>
      <c r="N79" s="33">
        <v>4.2000000000000003E-2</v>
      </c>
      <c r="O79" s="33">
        <v>4.1000000000000002E-2</v>
      </c>
      <c r="P79" s="29">
        <v>570</v>
      </c>
    </row>
    <row r="80" spans="3:29" x14ac:dyDescent="0.25">
      <c r="C80" s="56" t="s">
        <v>143</v>
      </c>
      <c r="D80" s="28">
        <v>0.30499999999999999</v>
      </c>
      <c r="E80" s="28">
        <v>0.27600000000000002</v>
      </c>
      <c r="F80" s="28">
        <v>0.29199999999999998</v>
      </c>
      <c r="G80" s="28">
        <v>0.29499999999999998</v>
      </c>
      <c r="H80" s="28">
        <v>0.14699999999999999</v>
      </c>
      <c r="I80" s="28">
        <v>0.14299999999999999</v>
      </c>
      <c r="J80" s="28">
        <v>0.13300000000000001</v>
      </c>
      <c r="K80" s="28">
        <v>0.129</v>
      </c>
      <c r="L80" s="28">
        <v>0.20100000000000001</v>
      </c>
      <c r="M80" s="28">
        <v>0.20899999999999999</v>
      </c>
      <c r="N80" s="28">
        <v>0.129</v>
      </c>
      <c r="O80" s="28">
        <v>0.125</v>
      </c>
      <c r="P80" s="29">
        <v>450</v>
      </c>
    </row>
    <row r="81" spans="3:16" x14ac:dyDescent="0.25">
      <c r="C81" s="57"/>
      <c r="D81" s="32">
        <v>4.4999999999999998E-2</v>
      </c>
      <c r="E81" s="32">
        <v>4.3999999999999997E-2</v>
      </c>
      <c r="F81" s="32">
        <v>4.3999999999999997E-2</v>
      </c>
      <c r="G81" s="32">
        <v>4.4999999999999998E-2</v>
      </c>
      <c r="H81" s="32">
        <v>4.2999999999999997E-2</v>
      </c>
      <c r="I81" s="32">
        <v>4.2000000000000003E-2</v>
      </c>
      <c r="J81" s="32">
        <v>4.2999999999999997E-2</v>
      </c>
      <c r="K81" s="32">
        <v>4.4999999999999998E-2</v>
      </c>
      <c r="L81" s="32">
        <v>4.3999999999999997E-2</v>
      </c>
      <c r="M81" s="32">
        <v>4.2999999999999997E-2</v>
      </c>
      <c r="N81" s="32">
        <v>4.2999999999999997E-2</v>
      </c>
      <c r="O81" s="32">
        <v>4.2000000000000003E-2</v>
      </c>
      <c r="P81" s="29">
        <v>540</v>
      </c>
    </row>
    <row r="82" spans="3:16" x14ac:dyDescent="0.25">
      <c r="C82" s="58"/>
      <c r="D82" s="33">
        <v>4.2000000000000003E-2</v>
      </c>
      <c r="E82" s="33">
        <v>4.2000000000000003E-2</v>
      </c>
      <c r="F82" s="33">
        <v>4.1000000000000002E-2</v>
      </c>
      <c r="G82" s="33">
        <v>4.2000000000000003E-2</v>
      </c>
      <c r="H82" s="33">
        <v>4.2000000000000003E-2</v>
      </c>
      <c r="I82" s="33">
        <v>4.1000000000000002E-2</v>
      </c>
      <c r="J82" s="33">
        <v>4.2999999999999997E-2</v>
      </c>
      <c r="K82" s="33">
        <v>4.3999999999999997E-2</v>
      </c>
      <c r="L82" s="33">
        <v>4.2000000000000003E-2</v>
      </c>
      <c r="M82" s="33">
        <v>4.1000000000000002E-2</v>
      </c>
      <c r="N82" s="33">
        <v>4.1000000000000002E-2</v>
      </c>
      <c r="O82" s="33">
        <v>4.1000000000000002E-2</v>
      </c>
      <c r="P82" s="29">
        <v>570</v>
      </c>
    </row>
    <row r="83" spans="3:16" x14ac:dyDescent="0.25">
      <c r="C83" s="56" t="s">
        <v>144</v>
      </c>
      <c r="D83" s="28">
        <v>0.26100000000000001</v>
      </c>
      <c r="E83" s="28">
        <v>0.26100000000000001</v>
      </c>
      <c r="F83" s="28">
        <v>0.35599999999999998</v>
      </c>
      <c r="G83" s="28">
        <v>0.377</v>
      </c>
      <c r="H83" s="28">
        <v>0.13</v>
      </c>
      <c r="I83" s="28">
        <v>0.13900000000000001</v>
      </c>
      <c r="J83" s="28">
        <v>0.125</v>
      </c>
      <c r="K83" s="28">
        <v>0.123</v>
      </c>
      <c r="L83" s="28">
        <v>0.21</v>
      </c>
      <c r="M83" s="28">
        <v>0.19600000000000001</v>
      </c>
      <c r="N83" s="28">
        <v>0.127</v>
      </c>
      <c r="O83" s="28">
        <v>0.122</v>
      </c>
      <c r="P83" s="29">
        <v>450</v>
      </c>
    </row>
    <row r="84" spans="3:16" x14ac:dyDescent="0.25">
      <c r="C84" s="57"/>
      <c r="D84" s="32">
        <v>4.3999999999999997E-2</v>
      </c>
      <c r="E84" s="32">
        <v>4.2999999999999997E-2</v>
      </c>
      <c r="F84" s="32">
        <v>4.4999999999999998E-2</v>
      </c>
      <c r="G84" s="32">
        <v>4.5999999999999999E-2</v>
      </c>
      <c r="H84" s="32">
        <v>4.2999999999999997E-2</v>
      </c>
      <c r="I84" s="32">
        <v>4.2000000000000003E-2</v>
      </c>
      <c r="J84" s="32">
        <v>4.3999999999999997E-2</v>
      </c>
      <c r="K84" s="32">
        <v>4.2999999999999997E-2</v>
      </c>
      <c r="L84" s="32">
        <v>4.3999999999999997E-2</v>
      </c>
      <c r="M84" s="32">
        <v>4.2999999999999997E-2</v>
      </c>
      <c r="N84" s="32">
        <v>4.2999999999999997E-2</v>
      </c>
      <c r="O84" s="32">
        <v>4.1000000000000002E-2</v>
      </c>
      <c r="P84" s="29">
        <v>540</v>
      </c>
    </row>
    <row r="85" spans="3:16" x14ac:dyDescent="0.25">
      <c r="C85" s="58"/>
      <c r="D85" s="33">
        <v>4.2000000000000003E-2</v>
      </c>
      <c r="E85" s="33">
        <v>4.1000000000000002E-2</v>
      </c>
      <c r="F85" s="33">
        <v>4.2000000000000003E-2</v>
      </c>
      <c r="G85" s="33">
        <v>4.2000000000000003E-2</v>
      </c>
      <c r="H85" s="33">
        <v>4.2000000000000003E-2</v>
      </c>
      <c r="I85" s="33">
        <v>4.1000000000000002E-2</v>
      </c>
      <c r="J85" s="33">
        <v>4.2999999999999997E-2</v>
      </c>
      <c r="K85" s="33">
        <v>4.2000000000000003E-2</v>
      </c>
      <c r="L85" s="33">
        <v>4.2000000000000003E-2</v>
      </c>
      <c r="M85" s="33">
        <v>4.1000000000000002E-2</v>
      </c>
      <c r="N85" s="33">
        <v>4.2000000000000003E-2</v>
      </c>
      <c r="O85" s="33">
        <v>4.1000000000000002E-2</v>
      </c>
      <c r="P85" s="29">
        <v>570</v>
      </c>
    </row>
    <row r="86" spans="3:16" x14ac:dyDescent="0.25">
      <c r="C86" s="56" t="s">
        <v>145</v>
      </c>
      <c r="D86" s="28">
        <v>8.1000000000000003E-2</v>
      </c>
      <c r="E86" s="28">
        <v>7.8E-2</v>
      </c>
      <c r="F86" s="28">
        <v>0.36299999999999999</v>
      </c>
      <c r="G86" s="28">
        <v>0.371</v>
      </c>
      <c r="H86" s="28">
        <v>0.14799999999999999</v>
      </c>
      <c r="I86" s="28">
        <v>0.14000000000000001</v>
      </c>
      <c r="J86" s="28">
        <v>0.13400000000000001</v>
      </c>
      <c r="K86" s="28">
        <v>0.13</v>
      </c>
      <c r="L86" s="28">
        <v>0.214</v>
      </c>
      <c r="M86" s="28">
        <v>0.219</v>
      </c>
      <c r="N86" s="28">
        <v>0.125</v>
      </c>
      <c r="O86" s="28">
        <v>0.126</v>
      </c>
      <c r="P86" s="29">
        <v>450</v>
      </c>
    </row>
    <row r="87" spans="3:16" x14ac:dyDescent="0.25">
      <c r="C87" s="57"/>
      <c r="D87" s="32">
        <v>4.4999999999999998E-2</v>
      </c>
      <c r="E87" s="32">
        <v>4.4999999999999998E-2</v>
      </c>
      <c r="F87" s="32">
        <v>4.4999999999999998E-2</v>
      </c>
      <c r="G87" s="32">
        <v>4.4999999999999998E-2</v>
      </c>
      <c r="H87" s="32">
        <v>4.2999999999999997E-2</v>
      </c>
      <c r="I87" s="32">
        <v>4.2999999999999997E-2</v>
      </c>
      <c r="J87" s="32">
        <v>4.2000000000000003E-2</v>
      </c>
      <c r="K87" s="32">
        <v>4.2999999999999997E-2</v>
      </c>
      <c r="L87" s="32">
        <v>4.3999999999999997E-2</v>
      </c>
      <c r="M87" s="32">
        <v>4.2999999999999997E-2</v>
      </c>
      <c r="N87" s="32">
        <v>4.2000000000000003E-2</v>
      </c>
      <c r="O87" s="32">
        <v>4.2000000000000003E-2</v>
      </c>
      <c r="P87" s="29">
        <v>540</v>
      </c>
    </row>
    <row r="88" spans="3:16" x14ac:dyDescent="0.25">
      <c r="C88" s="58"/>
      <c r="D88" s="33">
        <v>4.2000000000000003E-2</v>
      </c>
      <c r="E88" s="33">
        <v>4.2000000000000003E-2</v>
      </c>
      <c r="F88" s="33">
        <v>4.2000000000000003E-2</v>
      </c>
      <c r="G88" s="33">
        <v>4.2000000000000003E-2</v>
      </c>
      <c r="H88" s="33">
        <v>4.2000000000000003E-2</v>
      </c>
      <c r="I88" s="33">
        <v>4.2000000000000003E-2</v>
      </c>
      <c r="J88" s="33">
        <v>4.1000000000000002E-2</v>
      </c>
      <c r="K88" s="33">
        <v>4.1000000000000002E-2</v>
      </c>
      <c r="L88" s="33">
        <v>4.2000000000000003E-2</v>
      </c>
      <c r="M88" s="33">
        <v>4.1000000000000002E-2</v>
      </c>
      <c r="N88" s="33">
        <v>4.1000000000000002E-2</v>
      </c>
      <c r="O88" s="33">
        <v>4.1000000000000002E-2</v>
      </c>
      <c r="P88" s="29">
        <v>570</v>
      </c>
    </row>
  </sheetData>
  <mergeCells count="31">
    <mergeCell ref="C86:C88"/>
    <mergeCell ref="C53:C55"/>
    <mergeCell ref="C56:C58"/>
    <mergeCell ref="C62:O62"/>
    <mergeCell ref="Q62:AC62"/>
    <mergeCell ref="C65:C67"/>
    <mergeCell ref="C68:C70"/>
    <mergeCell ref="C71:C73"/>
    <mergeCell ref="C74:C76"/>
    <mergeCell ref="C77:C79"/>
    <mergeCell ref="C80:C82"/>
    <mergeCell ref="C83:C85"/>
    <mergeCell ref="C50:C52"/>
    <mergeCell ref="C17:C19"/>
    <mergeCell ref="C20:C22"/>
    <mergeCell ref="C23:C25"/>
    <mergeCell ref="C26:C28"/>
    <mergeCell ref="C32:O32"/>
    <mergeCell ref="C35:C37"/>
    <mergeCell ref="C38:C40"/>
    <mergeCell ref="C41:C43"/>
    <mergeCell ref="C44:C46"/>
    <mergeCell ref="C47:C49"/>
    <mergeCell ref="Q32:AC32"/>
    <mergeCell ref="C2:O2"/>
    <mergeCell ref="Q2:AC2"/>
    <mergeCell ref="C5:C7"/>
    <mergeCell ref="C8:C10"/>
    <mergeCell ref="C11:C13"/>
    <mergeCell ref="C14:C16"/>
    <mergeCell ref="S14:X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AD01-746F-4995-997E-3B643CF90FB5}">
  <dimension ref="C2:S88"/>
  <sheetViews>
    <sheetView workbookViewId="0">
      <selection activeCell="R30" sqref="R30"/>
    </sheetView>
  </sheetViews>
  <sheetFormatPr defaultRowHeight="15" x14ac:dyDescent="0.25"/>
  <cols>
    <col min="18" max="18" width="16.85546875" customWidth="1"/>
    <col min="19" max="19" width="38.140625" customWidth="1"/>
  </cols>
  <sheetData>
    <row r="2" spans="3:19" ht="26.25" x14ac:dyDescent="0.4"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R2" s="38" t="s">
        <v>150</v>
      </c>
      <c r="S2" s="38" t="s">
        <v>151</v>
      </c>
    </row>
    <row r="3" spans="3:19" ht="26.25" x14ac:dyDescent="0.4">
      <c r="D3" s="59" t="s">
        <v>152</v>
      </c>
      <c r="E3" s="59"/>
      <c r="F3" s="60" t="s">
        <v>153</v>
      </c>
      <c r="G3" s="60"/>
      <c r="H3" s="60"/>
      <c r="I3" s="60"/>
      <c r="J3" s="60"/>
      <c r="K3" s="60"/>
      <c r="L3" s="60"/>
      <c r="M3" s="60"/>
      <c r="N3" s="60"/>
      <c r="O3" s="60"/>
      <c r="R3" s="39"/>
      <c r="S3" s="1" t="s">
        <v>154</v>
      </c>
    </row>
    <row r="4" spans="3:19" x14ac:dyDescent="0.25">
      <c r="C4" s="26"/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7">
        <v>6</v>
      </c>
      <c r="J4" s="27">
        <v>7</v>
      </c>
      <c r="K4" s="27">
        <v>8</v>
      </c>
      <c r="L4" s="27">
        <v>9</v>
      </c>
      <c r="M4" s="27">
        <v>10</v>
      </c>
      <c r="N4" s="27">
        <v>11</v>
      </c>
      <c r="O4" s="27">
        <v>12</v>
      </c>
      <c r="P4" s="10" t="s">
        <v>155</v>
      </c>
    </row>
    <row r="5" spans="3:19" x14ac:dyDescent="0.25">
      <c r="C5" s="56" t="s">
        <v>138</v>
      </c>
      <c r="D5" s="40">
        <v>2.3530000000000002</v>
      </c>
      <c r="E5" s="40">
        <v>2.0019999999999998</v>
      </c>
      <c r="F5" s="40">
        <v>0.153</v>
      </c>
      <c r="G5" s="40">
        <v>0.222</v>
      </c>
      <c r="H5" s="40">
        <v>0.23100000000000001</v>
      </c>
      <c r="I5" s="40">
        <v>0.185</v>
      </c>
      <c r="J5" s="40">
        <v>0.222</v>
      </c>
      <c r="K5" s="40">
        <v>0.21099999999999999</v>
      </c>
      <c r="L5" s="40">
        <v>0.53200000000000003</v>
      </c>
      <c r="M5" s="40">
        <v>0.57599999999999996</v>
      </c>
      <c r="N5" s="40">
        <v>0.16</v>
      </c>
      <c r="O5" s="40">
        <v>0.16900000000000001</v>
      </c>
      <c r="P5" s="41">
        <v>450</v>
      </c>
    </row>
    <row r="6" spans="3:19" x14ac:dyDescent="0.25">
      <c r="C6" s="57"/>
      <c r="D6" s="42">
        <v>6.8000000000000005E-2</v>
      </c>
      <c r="E6" s="42">
        <v>6.5000000000000002E-2</v>
      </c>
      <c r="F6" s="42">
        <v>4.2999999999999997E-2</v>
      </c>
      <c r="G6" s="42">
        <v>4.4999999999999998E-2</v>
      </c>
      <c r="H6" s="42">
        <v>4.4999999999999998E-2</v>
      </c>
      <c r="I6" s="42">
        <v>4.4999999999999998E-2</v>
      </c>
      <c r="J6" s="42">
        <v>4.5999999999999999E-2</v>
      </c>
      <c r="K6" s="42">
        <v>4.4999999999999998E-2</v>
      </c>
      <c r="L6" s="42">
        <v>4.8000000000000001E-2</v>
      </c>
      <c r="M6" s="42">
        <v>4.9000000000000002E-2</v>
      </c>
      <c r="N6" s="42">
        <v>4.4999999999999998E-2</v>
      </c>
      <c r="O6" s="42">
        <v>4.5999999999999999E-2</v>
      </c>
      <c r="P6" s="41">
        <v>540</v>
      </c>
    </row>
    <row r="7" spans="3:19" x14ac:dyDescent="0.25">
      <c r="C7" s="58"/>
      <c r="D7" s="43">
        <v>4.5999999999999999E-2</v>
      </c>
      <c r="E7" s="43">
        <v>4.5999999999999999E-2</v>
      </c>
      <c r="F7" s="43">
        <v>4.2000000000000003E-2</v>
      </c>
      <c r="G7" s="43">
        <v>4.2999999999999997E-2</v>
      </c>
      <c r="H7" s="43">
        <v>4.2999999999999997E-2</v>
      </c>
      <c r="I7" s="43">
        <v>4.2999999999999997E-2</v>
      </c>
      <c r="J7" s="43">
        <v>4.3999999999999997E-2</v>
      </c>
      <c r="K7" s="43">
        <v>4.2999999999999997E-2</v>
      </c>
      <c r="L7" s="43">
        <v>4.2999999999999997E-2</v>
      </c>
      <c r="M7" s="43">
        <v>4.3999999999999997E-2</v>
      </c>
      <c r="N7" s="43">
        <v>4.3999999999999997E-2</v>
      </c>
      <c r="O7" s="43">
        <v>4.4999999999999998E-2</v>
      </c>
      <c r="P7" s="44">
        <v>570</v>
      </c>
    </row>
    <row r="8" spans="3:19" x14ac:dyDescent="0.25">
      <c r="C8" s="56" t="s">
        <v>139</v>
      </c>
      <c r="D8" s="40">
        <v>1.6240000000000001</v>
      </c>
      <c r="E8" s="40">
        <v>1.6890000000000001</v>
      </c>
      <c r="F8" s="40">
        <v>0.26600000000000001</v>
      </c>
      <c r="G8" s="40">
        <v>0.28299999999999997</v>
      </c>
      <c r="H8" s="40">
        <v>0.23400000000000001</v>
      </c>
      <c r="I8" s="40">
        <v>0.255</v>
      </c>
      <c r="J8" s="40">
        <v>0.184</v>
      </c>
      <c r="K8" s="40">
        <v>0.252</v>
      </c>
      <c r="L8" s="40">
        <v>0.60499999999999998</v>
      </c>
      <c r="M8" s="40">
        <v>0.60399999999999998</v>
      </c>
      <c r="N8" s="40">
        <v>0.13</v>
      </c>
      <c r="O8" s="40">
        <v>0.19400000000000001</v>
      </c>
      <c r="P8" s="41">
        <v>450</v>
      </c>
    </row>
    <row r="9" spans="3:19" x14ac:dyDescent="0.25">
      <c r="C9" s="57"/>
      <c r="D9" s="42">
        <v>6.3E-2</v>
      </c>
      <c r="E9" s="42">
        <v>6.2E-2</v>
      </c>
      <c r="F9" s="42">
        <v>4.4999999999999998E-2</v>
      </c>
      <c r="G9" s="42">
        <v>4.3999999999999997E-2</v>
      </c>
      <c r="H9" s="42">
        <v>4.5999999999999999E-2</v>
      </c>
      <c r="I9" s="42">
        <v>4.4999999999999998E-2</v>
      </c>
      <c r="J9" s="42">
        <v>4.3999999999999997E-2</v>
      </c>
      <c r="K9" s="42">
        <v>4.2999999999999997E-2</v>
      </c>
      <c r="L9" s="42">
        <v>0.05</v>
      </c>
      <c r="M9" s="42">
        <v>0.05</v>
      </c>
      <c r="N9" s="42">
        <v>4.2999999999999997E-2</v>
      </c>
      <c r="O9" s="42">
        <v>4.3999999999999997E-2</v>
      </c>
      <c r="P9" s="41">
        <v>540</v>
      </c>
    </row>
    <row r="10" spans="3:19" x14ac:dyDescent="0.25">
      <c r="C10" s="58"/>
      <c r="D10" s="43">
        <v>4.8000000000000001E-2</v>
      </c>
      <c r="E10" s="43">
        <v>4.5999999999999999E-2</v>
      </c>
      <c r="F10" s="43">
        <v>4.2999999999999997E-2</v>
      </c>
      <c r="G10" s="43">
        <v>4.2000000000000003E-2</v>
      </c>
      <c r="H10" s="43">
        <v>4.2999999999999997E-2</v>
      </c>
      <c r="I10" s="43">
        <v>4.2999999999999997E-2</v>
      </c>
      <c r="J10" s="43">
        <v>4.2000000000000003E-2</v>
      </c>
      <c r="K10" s="43">
        <v>4.1000000000000002E-2</v>
      </c>
      <c r="L10" s="43">
        <v>4.4999999999999998E-2</v>
      </c>
      <c r="M10" s="43">
        <v>4.3999999999999997E-2</v>
      </c>
      <c r="N10" s="43">
        <v>4.2000000000000003E-2</v>
      </c>
      <c r="O10" s="43">
        <v>4.2000000000000003E-2</v>
      </c>
      <c r="P10" s="44">
        <v>570</v>
      </c>
    </row>
    <row r="11" spans="3:19" x14ac:dyDescent="0.25">
      <c r="C11" s="56" t="s">
        <v>140</v>
      </c>
      <c r="D11" s="40">
        <v>1.0569999999999999</v>
      </c>
      <c r="E11" s="40">
        <v>1.1619999999999999</v>
      </c>
      <c r="F11" s="40">
        <v>0.24399999999999999</v>
      </c>
      <c r="G11" s="40">
        <v>0.27500000000000002</v>
      </c>
      <c r="H11" s="40">
        <v>0.23</v>
      </c>
      <c r="I11" s="40">
        <v>0.223</v>
      </c>
      <c r="J11" s="40">
        <v>0.23100000000000001</v>
      </c>
      <c r="K11" s="40">
        <v>0.248</v>
      </c>
      <c r="L11" s="40">
        <v>0.57999999999999996</v>
      </c>
      <c r="M11" s="40">
        <v>0.53400000000000003</v>
      </c>
      <c r="N11" s="40">
        <v>0.185</v>
      </c>
      <c r="O11" s="40">
        <v>0.193</v>
      </c>
      <c r="P11" s="41">
        <v>450</v>
      </c>
    </row>
    <row r="12" spans="3:19" x14ac:dyDescent="0.25">
      <c r="C12" s="57"/>
      <c r="D12" s="42">
        <v>5.2999999999999999E-2</v>
      </c>
      <c r="E12" s="42">
        <v>5.6000000000000001E-2</v>
      </c>
      <c r="F12" s="42">
        <v>4.3999999999999997E-2</v>
      </c>
      <c r="G12" s="42">
        <v>4.5999999999999999E-2</v>
      </c>
      <c r="H12" s="42">
        <v>4.4999999999999998E-2</v>
      </c>
      <c r="I12" s="42">
        <v>4.3999999999999997E-2</v>
      </c>
      <c r="J12" s="42">
        <v>4.2999999999999997E-2</v>
      </c>
      <c r="K12" s="42">
        <v>4.2999999999999997E-2</v>
      </c>
      <c r="L12" s="42">
        <v>4.9000000000000002E-2</v>
      </c>
      <c r="M12" s="42">
        <v>4.8000000000000001E-2</v>
      </c>
      <c r="N12" s="42">
        <v>4.1000000000000002E-2</v>
      </c>
      <c r="O12" s="42">
        <v>4.2999999999999997E-2</v>
      </c>
      <c r="P12" s="41">
        <v>540</v>
      </c>
    </row>
    <row r="13" spans="3:19" x14ac:dyDescent="0.25">
      <c r="C13" s="58"/>
      <c r="D13" s="43">
        <v>4.2999999999999997E-2</v>
      </c>
      <c r="E13" s="43">
        <v>4.4999999999999998E-2</v>
      </c>
      <c r="F13" s="43">
        <v>4.2000000000000003E-2</v>
      </c>
      <c r="G13" s="43">
        <v>4.2999999999999997E-2</v>
      </c>
      <c r="H13" s="43">
        <v>4.2999999999999997E-2</v>
      </c>
      <c r="I13" s="43">
        <v>4.2000000000000003E-2</v>
      </c>
      <c r="J13" s="43">
        <v>4.2000000000000003E-2</v>
      </c>
      <c r="K13" s="43">
        <v>4.1000000000000002E-2</v>
      </c>
      <c r="L13" s="43">
        <v>4.3999999999999997E-2</v>
      </c>
      <c r="M13" s="43">
        <v>4.2999999999999997E-2</v>
      </c>
      <c r="N13" s="43">
        <v>3.9E-2</v>
      </c>
      <c r="O13" s="43">
        <v>4.2000000000000003E-2</v>
      </c>
      <c r="P13" s="44">
        <v>570</v>
      </c>
    </row>
    <row r="14" spans="3:19" x14ac:dyDescent="0.25">
      <c r="C14" s="56" t="s">
        <v>141</v>
      </c>
      <c r="D14" s="40">
        <v>0.84</v>
      </c>
      <c r="E14" s="40">
        <v>0.77800000000000002</v>
      </c>
      <c r="F14" s="40">
        <v>0.25800000000000001</v>
      </c>
      <c r="G14" s="40">
        <v>0.27900000000000003</v>
      </c>
      <c r="H14" s="40">
        <v>0.23400000000000001</v>
      </c>
      <c r="I14" s="40">
        <v>0.23100000000000001</v>
      </c>
      <c r="J14" s="40">
        <v>0.26100000000000001</v>
      </c>
      <c r="K14" s="40">
        <v>0.28499999999999998</v>
      </c>
      <c r="L14" s="40">
        <v>0.54600000000000004</v>
      </c>
      <c r="M14" s="40">
        <v>0.52700000000000002</v>
      </c>
      <c r="N14" s="40">
        <v>0.20899999999999999</v>
      </c>
      <c r="O14" s="40">
        <v>0.192</v>
      </c>
      <c r="P14" s="41">
        <v>450</v>
      </c>
    </row>
    <row r="15" spans="3:19" x14ac:dyDescent="0.25">
      <c r="C15" s="57"/>
      <c r="D15" s="42">
        <v>5.1999999999999998E-2</v>
      </c>
      <c r="E15" s="42">
        <v>0.05</v>
      </c>
      <c r="F15" s="42">
        <v>4.4999999999999998E-2</v>
      </c>
      <c r="G15" s="42">
        <v>4.3999999999999997E-2</v>
      </c>
      <c r="H15" s="42">
        <v>4.4999999999999998E-2</v>
      </c>
      <c r="I15" s="42">
        <v>4.2999999999999997E-2</v>
      </c>
      <c r="J15" s="42">
        <v>4.2999999999999997E-2</v>
      </c>
      <c r="K15" s="42">
        <v>4.4999999999999998E-2</v>
      </c>
      <c r="L15" s="42">
        <v>4.8000000000000001E-2</v>
      </c>
      <c r="M15" s="42">
        <v>4.4999999999999998E-2</v>
      </c>
      <c r="N15" s="42">
        <v>4.3999999999999997E-2</v>
      </c>
      <c r="O15" s="42">
        <v>4.2000000000000003E-2</v>
      </c>
      <c r="P15" s="41">
        <v>540</v>
      </c>
    </row>
    <row r="16" spans="3:19" x14ac:dyDescent="0.25">
      <c r="C16" s="58"/>
      <c r="D16" s="43">
        <v>4.2999999999999997E-2</v>
      </c>
      <c r="E16" s="43">
        <v>4.2999999999999997E-2</v>
      </c>
      <c r="F16" s="43">
        <v>4.2999999999999997E-2</v>
      </c>
      <c r="G16" s="43">
        <v>4.2000000000000003E-2</v>
      </c>
      <c r="H16" s="43">
        <v>4.2999999999999997E-2</v>
      </c>
      <c r="I16" s="43">
        <v>4.1000000000000002E-2</v>
      </c>
      <c r="J16" s="43">
        <v>0.04</v>
      </c>
      <c r="K16" s="43">
        <v>4.2999999999999997E-2</v>
      </c>
      <c r="L16" s="43">
        <v>4.2999999999999997E-2</v>
      </c>
      <c r="M16" s="43">
        <v>0.04</v>
      </c>
      <c r="N16" s="43">
        <v>4.2000000000000003E-2</v>
      </c>
      <c r="O16" s="43">
        <v>4.1000000000000002E-2</v>
      </c>
      <c r="P16" s="44">
        <v>570</v>
      </c>
    </row>
    <row r="17" spans="3:16" x14ac:dyDescent="0.25">
      <c r="C17" s="56" t="s">
        <v>142</v>
      </c>
      <c r="D17" s="40">
        <v>0.72099999999999997</v>
      </c>
      <c r="E17" s="40">
        <v>0.68400000000000005</v>
      </c>
      <c r="F17" s="40">
        <v>0.30399999999999999</v>
      </c>
      <c r="G17" s="40">
        <v>0.32400000000000001</v>
      </c>
      <c r="H17" s="40">
        <v>0.246</v>
      </c>
      <c r="I17" s="40">
        <v>0.24</v>
      </c>
      <c r="J17" s="40">
        <v>0.254</v>
      </c>
      <c r="K17" s="40">
        <v>0.24099999999999999</v>
      </c>
      <c r="L17" s="40">
        <v>0.20799999999999999</v>
      </c>
      <c r="M17" s="40">
        <v>0.19800000000000001</v>
      </c>
      <c r="N17" s="40">
        <v>0.22800000000000001</v>
      </c>
      <c r="O17" s="40">
        <v>0.24</v>
      </c>
      <c r="P17" s="41">
        <v>450</v>
      </c>
    </row>
    <row r="18" spans="3:16" x14ac:dyDescent="0.25">
      <c r="C18" s="57"/>
      <c r="D18" s="42">
        <v>4.9000000000000002E-2</v>
      </c>
      <c r="E18" s="42">
        <v>4.9000000000000002E-2</v>
      </c>
      <c r="F18" s="42">
        <v>4.4999999999999998E-2</v>
      </c>
      <c r="G18" s="42">
        <v>4.3999999999999997E-2</v>
      </c>
      <c r="H18" s="42">
        <v>4.3999999999999997E-2</v>
      </c>
      <c r="I18" s="42">
        <v>4.7E-2</v>
      </c>
      <c r="J18" s="42">
        <v>4.4999999999999998E-2</v>
      </c>
      <c r="K18" s="42">
        <v>4.2999999999999997E-2</v>
      </c>
      <c r="L18" s="42">
        <v>4.2999999999999997E-2</v>
      </c>
      <c r="M18" s="42">
        <v>4.2999999999999997E-2</v>
      </c>
      <c r="N18" s="42">
        <v>4.4999999999999998E-2</v>
      </c>
      <c r="O18" s="42">
        <v>4.4999999999999998E-2</v>
      </c>
      <c r="P18" s="41">
        <v>540</v>
      </c>
    </row>
    <row r="19" spans="3:16" x14ac:dyDescent="0.25">
      <c r="C19" s="58"/>
      <c r="D19" s="43">
        <v>4.2999999999999997E-2</v>
      </c>
      <c r="E19" s="43">
        <v>4.2999999999999997E-2</v>
      </c>
      <c r="F19" s="43">
        <v>4.2999999999999997E-2</v>
      </c>
      <c r="G19" s="43">
        <v>4.2000000000000003E-2</v>
      </c>
      <c r="H19" s="43">
        <v>4.2000000000000003E-2</v>
      </c>
      <c r="I19" s="43">
        <v>4.3999999999999997E-2</v>
      </c>
      <c r="J19" s="43">
        <v>4.2000000000000003E-2</v>
      </c>
      <c r="K19" s="43">
        <v>4.2000000000000003E-2</v>
      </c>
      <c r="L19" s="43">
        <v>4.1000000000000002E-2</v>
      </c>
      <c r="M19" s="43">
        <v>4.1000000000000002E-2</v>
      </c>
      <c r="N19" s="43">
        <v>4.2999999999999997E-2</v>
      </c>
      <c r="O19" s="43">
        <v>4.2999999999999997E-2</v>
      </c>
      <c r="P19" s="44">
        <v>570</v>
      </c>
    </row>
    <row r="20" spans="3:16" x14ac:dyDescent="0.25">
      <c r="C20" s="56" t="s">
        <v>143</v>
      </c>
      <c r="D20" s="40">
        <v>0.65800000000000003</v>
      </c>
      <c r="E20" s="40">
        <v>0.64700000000000002</v>
      </c>
      <c r="F20" s="40">
        <v>0.28699999999999998</v>
      </c>
      <c r="G20" s="40">
        <v>0.32500000000000001</v>
      </c>
      <c r="H20" s="40">
        <v>0.248</v>
      </c>
      <c r="I20" s="40">
        <v>0.253</v>
      </c>
      <c r="J20" s="40">
        <v>0.245</v>
      </c>
      <c r="K20" s="40">
        <v>0.24299999999999999</v>
      </c>
      <c r="L20" s="40">
        <v>0.20599999999999999</v>
      </c>
      <c r="M20" s="40">
        <v>0.19800000000000001</v>
      </c>
      <c r="N20" s="40">
        <v>0.22800000000000001</v>
      </c>
      <c r="O20" s="40">
        <v>0.23</v>
      </c>
      <c r="P20" s="41">
        <v>450</v>
      </c>
    </row>
    <row r="21" spans="3:16" x14ac:dyDescent="0.25">
      <c r="C21" s="57"/>
      <c r="D21" s="42">
        <v>4.9000000000000002E-2</v>
      </c>
      <c r="E21" s="42">
        <v>4.8000000000000001E-2</v>
      </c>
      <c r="F21" s="42">
        <v>4.4999999999999998E-2</v>
      </c>
      <c r="G21" s="42">
        <v>4.4999999999999998E-2</v>
      </c>
      <c r="H21" s="42">
        <v>4.2999999999999997E-2</v>
      </c>
      <c r="I21" s="42">
        <v>4.2999999999999997E-2</v>
      </c>
      <c r="J21" s="42">
        <v>4.4999999999999998E-2</v>
      </c>
      <c r="K21" s="42">
        <v>4.2999999999999997E-2</v>
      </c>
      <c r="L21" s="42">
        <v>4.3999999999999997E-2</v>
      </c>
      <c r="M21" s="42">
        <v>4.2000000000000003E-2</v>
      </c>
      <c r="N21" s="42">
        <v>4.2999999999999997E-2</v>
      </c>
      <c r="O21" s="42">
        <v>4.4999999999999998E-2</v>
      </c>
      <c r="P21" s="41">
        <v>540</v>
      </c>
    </row>
    <row r="22" spans="3:16" x14ac:dyDescent="0.25">
      <c r="C22" s="58"/>
      <c r="D22" s="43">
        <v>4.2999999999999997E-2</v>
      </c>
      <c r="E22" s="43">
        <v>4.2000000000000003E-2</v>
      </c>
      <c r="F22" s="43">
        <v>4.2999999999999997E-2</v>
      </c>
      <c r="G22" s="43">
        <v>4.2999999999999997E-2</v>
      </c>
      <c r="H22" s="43">
        <v>4.1000000000000002E-2</v>
      </c>
      <c r="I22" s="43">
        <v>4.1000000000000002E-2</v>
      </c>
      <c r="J22" s="43">
        <v>4.2999999999999997E-2</v>
      </c>
      <c r="K22" s="43">
        <v>4.1000000000000002E-2</v>
      </c>
      <c r="L22" s="43">
        <v>4.2000000000000003E-2</v>
      </c>
      <c r="M22" s="43">
        <v>0.04</v>
      </c>
      <c r="N22" s="43">
        <v>4.1000000000000002E-2</v>
      </c>
      <c r="O22" s="43">
        <v>4.2999999999999997E-2</v>
      </c>
      <c r="P22" s="44">
        <v>570</v>
      </c>
    </row>
    <row r="23" spans="3:16" x14ac:dyDescent="0.25">
      <c r="C23" s="56" t="s">
        <v>144</v>
      </c>
      <c r="D23" s="40">
        <v>0.61</v>
      </c>
      <c r="E23" s="40">
        <v>0.52800000000000002</v>
      </c>
      <c r="F23" s="40">
        <v>0.28100000000000003</v>
      </c>
      <c r="G23" s="40">
        <v>0.29799999999999999</v>
      </c>
      <c r="H23" s="40">
        <v>0.24199999999999999</v>
      </c>
      <c r="I23" s="40">
        <v>0.221</v>
      </c>
      <c r="J23" s="40">
        <v>0.2</v>
      </c>
      <c r="K23" s="40">
        <v>0.24</v>
      </c>
      <c r="L23" s="40">
        <v>0.18099999999999999</v>
      </c>
      <c r="M23" s="40">
        <v>0.19400000000000001</v>
      </c>
      <c r="N23" s="40">
        <v>0.23300000000000001</v>
      </c>
      <c r="O23" s="40">
        <v>0.216</v>
      </c>
      <c r="P23" s="41">
        <v>450</v>
      </c>
    </row>
    <row r="24" spans="3:16" x14ac:dyDescent="0.25">
      <c r="C24" s="57"/>
      <c r="D24" s="42">
        <v>4.8000000000000001E-2</v>
      </c>
      <c r="E24" s="42">
        <v>5.1999999999999998E-2</v>
      </c>
      <c r="F24" s="42">
        <v>4.3999999999999997E-2</v>
      </c>
      <c r="G24" s="42">
        <v>4.3999999999999997E-2</v>
      </c>
      <c r="H24" s="42">
        <v>4.2999999999999997E-2</v>
      </c>
      <c r="I24" s="42">
        <v>4.3999999999999997E-2</v>
      </c>
      <c r="J24" s="42">
        <v>4.3999999999999997E-2</v>
      </c>
      <c r="K24" s="42">
        <v>4.3999999999999997E-2</v>
      </c>
      <c r="L24" s="42">
        <v>4.4999999999999998E-2</v>
      </c>
      <c r="M24" s="42">
        <v>4.2999999999999997E-2</v>
      </c>
      <c r="N24" s="42">
        <v>4.4999999999999998E-2</v>
      </c>
      <c r="O24" s="42">
        <v>5.1999999999999998E-2</v>
      </c>
      <c r="P24" s="41">
        <v>540</v>
      </c>
    </row>
    <row r="25" spans="3:16" x14ac:dyDescent="0.25">
      <c r="C25" s="58"/>
      <c r="D25" s="43">
        <v>4.2000000000000003E-2</v>
      </c>
      <c r="E25" s="43">
        <v>4.7E-2</v>
      </c>
      <c r="F25" s="43">
        <v>4.2000000000000003E-2</v>
      </c>
      <c r="G25" s="43">
        <v>4.1000000000000002E-2</v>
      </c>
      <c r="H25" s="43">
        <v>4.1000000000000002E-2</v>
      </c>
      <c r="I25" s="43">
        <v>4.2000000000000003E-2</v>
      </c>
      <c r="J25" s="43">
        <v>4.2000000000000003E-2</v>
      </c>
      <c r="K25" s="43">
        <v>4.1000000000000002E-2</v>
      </c>
      <c r="L25" s="43">
        <v>4.3999999999999997E-2</v>
      </c>
      <c r="M25" s="43">
        <v>4.1000000000000002E-2</v>
      </c>
      <c r="N25" s="43">
        <v>4.2999999999999997E-2</v>
      </c>
      <c r="O25" s="43">
        <v>0.05</v>
      </c>
      <c r="P25" s="44">
        <v>570</v>
      </c>
    </row>
    <row r="26" spans="3:16" x14ac:dyDescent="0.25">
      <c r="C26" s="56" t="s">
        <v>145</v>
      </c>
      <c r="D26" s="40">
        <v>8.5000000000000006E-2</v>
      </c>
      <c r="E26" s="40">
        <v>9.1999999999999998E-2</v>
      </c>
      <c r="F26" s="40">
        <v>0.26900000000000002</v>
      </c>
      <c r="G26" s="40">
        <v>0.28799999999999998</v>
      </c>
      <c r="H26" s="40">
        <v>0.27500000000000002</v>
      </c>
      <c r="I26" s="40">
        <v>0.313</v>
      </c>
      <c r="J26" s="40">
        <v>0.215</v>
      </c>
      <c r="K26" s="40">
        <v>0.22600000000000001</v>
      </c>
      <c r="L26" s="40">
        <v>0.19800000000000001</v>
      </c>
      <c r="M26" s="40">
        <v>0.193</v>
      </c>
      <c r="N26" s="40">
        <v>0.249</v>
      </c>
      <c r="O26" s="40">
        <v>0.19900000000000001</v>
      </c>
      <c r="P26" s="41">
        <v>450</v>
      </c>
    </row>
    <row r="27" spans="3:16" x14ac:dyDescent="0.25">
      <c r="C27" s="57"/>
      <c r="D27" s="42">
        <v>4.7E-2</v>
      </c>
      <c r="E27" s="42">
        <v>4.1000000000000002E-2</v>
      </c>
      <c r="F27" s="42">
        <v>4.3999999999999997E-2</v>
      </c>
      <c r="G27" s="42">
        <v>4.2999999999999997E-2</v>
      </c>
      <c r="H27" s="42">
        <v>4.1000000000000002E-2</v>
      </c>
      <c r="I27" s="42">
        <v>4.5999999999999999E-2</v>
      </c>
      <c r="J27" s="42">
        <v>4.2999999999999997E-2</v>
      </c>
      <c r="K27" s="42">
        <v>0.04</v>
      </c>
      <c r="L27" s="42">
        <v>4.2999999999999997E-2</v>
      </c>
      <c r="M27" s="42">
        <v>4.2000000000000003E-2</v>
      </c>
      <c r="N27" s="42">
        <v>4.2999999999999997E-2</v>
      </c>
      <c r="O27" s="42">
        <v>4.2999999999999997E-2</v>
      </c>
      <c r="P27" s="41">
        <v>540</v>
      </c>
    </row>
    <row r="28" spans="3:16" x14ac:dyDescent="0.25">
      <c r="C28" s="58"/>
      <c r="D28" s="43">
        <v>4.2999999999999997E-2</v>
      </c>
      <c r="E28" s="43">
        <v>3.6999999999999998E-2</v>
      </c>
      <c r="F28" s="43">
        <v>4.2000000000000003E-2</v>
      </c>
      <c r="G28" s="43">
        <v>0.04</v>
      </c>
      <c r="H28" s="43">
        <v>3.7999999999999999E-2</v>
      </c>
      <c r="I28" s="43">
        <v>4.2000000000000003E-2</v>
      </c>
      <c r="J28" s="43">
        <v>4.1000000000000002E-2</v>
      </c>
      <c r="K28" s="43">
        <v>3.7999999999999999E-2</v>
      </c>
      <c r="L28" s="43">
        <v>4.2000000000000003E-2</v>
      </c>
      <c r="M28" s="43">
        <v>0.04</v>
      </c>
      <c r="N28" s="43">
        <v>4.1000000000000002E-2</v>
      </c>
      <c r="O28" s="43">
        <v>4.1000000000000002E-2</v>
      </c>
      <c r="P28" s="44">
        <v>570</v>
      </c>
    </row>
    <row r="29" spans="3:16" x14ac:dyDescent="0.25"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2" spans="3:16" ht="26.25" x14ac:dyDescent="0.4"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3:16" ht="26.25" x14ac:dyDescent="0.4">
      <c r="D33" s="59" t="s">
        <v>152</v>
      </c>
      <c r="E33" s="59"/>
      <c r="F33" s="60" t="s">
        <v>156</v>
      </c>
      <c r="G33" s="60"/>
      <c r="H33" s="60"/>
      <c r="I33" s="60"/>
      <c r="J33" s="60"/>
      <c r="K33" s="60"/>
      <c r="L33" s="60"/>
      <c r="M33" s="60"/>
      <c r="N33" s="60"/>
      <c r="O33" s="60"/>
    </row>
    <row r="34" spans="3:16" x14ac:dyDescent="0.25">
      <c r="C34" s="26"/>
      <c r="D34" s="27">
        <v>1</v>
      </c>
      <c r="E34" s="27">
        <v>2</v>
      </c>
      <c r="F34" s="27">
        <v>3</v>
      </c>
      <c r="G34" s="27">
        <v>4</v>
      </c>
      <c r="H34" s="27">
        <v>5</v>
      </c>
      <c r="I34" s="27">
        <v>6</v>
      </c>
      <c r="J34" s="27">
        <v>7</v>
      </c>
      <c r="K34" s="27">
        <v>8</v>
      </c>
      <c r="L34" s="27">
        <v>9</v>
      </c>
      <c r="M34" s="27">
        <v>10</v>
      </c>
      <c r="N34" s="27">
        <v>11</v>
      </c>
      <c r="O34" s="27">
        <v>12</v>
      </c>
    </row>
    <row r="35" spans="3:16" x14ac:dyDescent="0.25">
      <c r="C35" s="56" t="s">
        <v>138</v>
      </c>
      <c r="D35" s="45">
        <v>2.9980000000000002</v>
      </c>
      <c r="E35" s="45">
        <v>3.15</v>
      </c>
      <c r="F35" s="45">
        <v>0.218</v>
      </c>
      <c r="G35" s="45">
        <v>0.216</v>
      </c>
      <c r="H35" s="45">
        <v>0.20399999999999999</v>
      </c>
      <c r="I35" s="45">
        <v>0.20899999999999999</v>
      </c>
      <c r="J35" s="45">
        <v>0.28399999999999997</v>
      </c>
      <c r="K35" s="45">
        <v>0.25600000000000001</v>
      </c>
      <c r="L35" s="45">
        <v>0.14299999999999999</v>
      </c>
      <c r="M35" s="45">
        <v>0.16600000000000001</v>
      </c>
      <c r="N35" s="45">
        <v>0.151</v>
      </c>
      <c r="O35" s="45">
        <v>0.161</v>
      </c>
      <c r="P35" s="46">
        <v>450</v>
      </c>
    </row>
    <row r="36" spans="3:16" x14ac:dyDescent="0.25">
      <c r="C36" s="57"/>
      <c r="D36" s="47">
        <v>7.6999999999999999E-2</v>
      </c>
      <c r="E36" s="47">
        <v>7.6999999999999999E-2</v>
      </c>
      <c r="F36" s="47">
        <v>4.2000000000000003E-2</v>
      </c>
      <c r="G36" s="47">
        <v>4.2000000000000003E-2</v>
      </c>
      <c r="H36" s="47">
        <v>4.2999999999999997E-2</v>
      </c>
      <c r="I36" s="47">
        <v>4.2999999999999997E-2</v>
      </c>
      <c r="J36" s="47">
        <v>4.2999999999999997E-2</v>
      </c>
      <c r="K36" s="47">
        <v>4.4999999999999998E-2</v>
      </c>
      <c r="L36" s="47">
        <v>4.2000000000000003E-2</v>
      </c>
      <c r="M36" s="47">
        <v>4.2000000000000003E-2</v>
      </c>
      <c r="N36" s="47">
        <v>4.2000000000000003E-2</v>
      </c>
      <c r="O36" s="47">
        <v>4.2000000000000003E-2</v>
      </c>
      <c r="P36" s="46">
        <v>540</v>
      </c>
    </row>
    <row r="37" spans="3:16" x14ac:dyDescent="0.25">
      <c r="C37" s="58"/>
      <c r="D37" s="33">
        <v>4.8000000000000001E-2</v>
      </c>
      <c r="E37" s="33">
        <v>4.7E-2</v>
      </c>
      <c r="F37" s="33">
        <v>4.1000000000000002E-2</v>
      </c>
      <c r="G37" s="33">
        <v>4.1000000000000002E-2</v>
      </c>
      <c r="H37" s="33">
        <v>4.1000000000000002E-2</v>
      </c>
      <c r="I37" s="33">
        <v>4.1000000000000002E-2</v>
      </c>
      <c r="J37" s="33">
        <v>4.1000000000000002E-2</v>
      </c>
      <c r="K37" s="33">
        <v>4.2999999999999997E-2</v>
      </c>
      <c r="L37" s="33">
        <v>4.1000000000000002E-2</v>
      </c>
      <c r="M37" s="33">
        <v>4.1000000000000002E-2</v>
      </c>
      <c r="N37" s="33">
        <v>0.04</v>
      </c>
      <c r="O37" s="33">
        <v>4.1000000000000002E-2</v>
      </c>
      <c r="P37" s="48">
        <v>570</v>
      </c>
    </row>
    <row r="38" spans="3:16" x14ac:dyDescent="0.25">
      <c r="C38" s="56" t="s">
        <v>139</v>
      </c>
      <c r="D38" s="45">
        <v>2.0990000000000002</v>
      </c>
      <c r="E38" s="45">
        <v>2.1240000000000001</v>
      </c>
      <c r="F38" s="45">
        <v>0.19400000000000001</v>
      </c>
      <c r="G38" s="45">
        <v>0.187</v>
      </c>
      <c r="H38" s="45">
        <v>0.217</v>
      </c>
      <c r="I38" s="45">
        <v>0.191</v>
      </c>
      <c r="J38" s="45">
        <v>0.311</v>
      </c>
      <c r="K38" s="45">
        <v>0.31900000000000001</v>
      </c>
      <c r="L38" s="45">
        <v>0.16800000000000001</v>
      </c>
      <c r="M38" s="45">
        <v>0.17899999999999999</v>
      </c>
      <c r="N38" s="45">
        <v>0.14899999999999999</v>
      </c>
      <c r="O38" s="45">
        <v>0.16400000000000001</v>
      </c>
      <c r="P38" s="46">
        <v>450</v>
      </c>
    </row>
    <row r="39" spans="3:16" x14ac:dyDescent="0.25">
      <c r="C39" s="57"/>
      <c r="D39" s="47">
        <v>6.6000000000000003E-2</v>
      </c>
      <c r="E39" s="47">
        <v>6.6000000000000003E-2</v>
      </c>
      <c r="F39" s="47">
        <v>4.2999999999999997E-2</v>
      </c>
      <c r="G39" s="47">
        <v>4.2000000000000003E-2</v>
      </c>
      <c r="H39" s="47">
        <v>4.4999999999999998E-2</v>
      </c>
      <c r="I39" s="47">
        <v>4.4999999999999998E-2</v>
      </c>
      <c r="J39" s="47">
        <v>4.2999999999999997E-2</v>
      </c>
      <c r="K39" s="47">
        <v>4.3999999999999997E-2</v>
      </c>
      <c r="L39" s="47">
        <v>4.2999999999999997E-2</v>
      </c>
      <c r="M39" s="47">
        <v>4.2999999999999997E-2</v>
      </c>
      <c r="N39" s="47">
        <v>4.2000000000000003E-2</v>
      </c>
      <c r="O39" s="47">
        <v>4.2000000000000003E-2</v>
      </c>
      <c r="P39" s="46">
        <v>540</v>
      </c>
    </row>
    <row r="40" spans="3:16" x14ac:dyDescent="0.25">
      <c r="C40" s="58"/>
      <c r="D40" s="33">
        <v>4.5999999999999999E-2</v>
      </c>
      <c r="E40" s="33">
        <v>4.4999999999999998E-2</v>
      </c>
      <c r="F40" s="33">
        <v>4.1000000000000002E-2</v>
      </c>
      <c r="G40" s="33">
        <v>4.1000000000000002E-2</v>
      </c>
      <c r="H40" s="33">
        <v>4.2999999999999997E-2</v>
      </c>
      <c r="I40" s="33">
        <v>4.2999999999999997E-2</v>
      </c>
      <c r="J40" s="33">
        <v>4.1000000000000002E-2</v>
      </c>
      <c r="K40" s="33">
        <v>4.1000000000000002E-2</v>
      </c>
      <c r="L40" s="33">
        <v>4.1000000000000002E-2</v>
      </c>
      <c r="M40" s="33">
        <v>4.1000000000000002E-2</v>
      </c>
      <c r="N40" s="33">
        <v>4.1000000000000002E-2</v>
      </c>
      <c r="O40" s="33">
        <v>4.1000000000000002E-2</v>
      </c>
      <c r="P40" s="48">
        <v>570</v>
      </c>
    </row>
    <row r="41" spans="3:16" x14ac:dyDescent="0.25">
      <c r="C41" s="56" t="s">
        <v>140</v>
      </c>
      <c r="D41" s="45">
        <v>1.3169999999999999</v>
      </c>
      <c r="E41" s="45">
        <v>1.395</v>
      </c>
      <c r="F41" s="45">
        <v>0.21199999999999999</v>
      </c>
      <c r="G41" s="45">
        <v>0.21299999999999999</v>
      </c>
      <c r="H41" s="45">
        <v>0.22600000000000001</v>
      </c>
      <c r="I41" s="45">
        <v>0.22500000000000001</v>
      </c>
      <c r="J41" s="45">
        <v>0.33500000000000002</v>
      </c>
      <c r="K41" s="45">
        <v>0.34</v>
      </c>
      <c r="L41" s="45">
        <v>0.16800000000000001</v>
      </c>
      <c r="M41" s="45">
        <v>0.17299999999999999</v>
      </c>
      <c r="N41" s="45">
        <v>0.152</v>
      </c>
      <c r="O41" s="45">
        <v>0.12</v>
      </c>
      <c r="P41" s="46">
        <v>450</v>
      </c>
    </row>
    <row r="42" spans="3:16" x14ac:dyDescent="0.25">
      <c r="C42" s="57"/>
      <c r="D42" s="47">
        <v>5.6000000000000001E-2</v>
      </c>
      <c r="E42" s="47">
        <v>5.7000000000000002E-2</v>
      </c>
      <c r="F42" s="47">
        <v>4.3999999999999997E-2</v>
      </c>
      <c r="G42" s="47">
        <v>4.2999999999999997E-2</v>
      </c>
      <c r="H42" s="47">
        <v>4.2999999999999997E-2</v>
      </c>
      <c r="I42" s="47">
        <v>4.3999999999999997E-2</v>
      </c>
      <c r="J42" s="47">
        <v>4.5999999999999999E-2</v>
      </c>
      <c r="K42" s="47">
        <v>4.4999999999999998E-2</v>
      </c>
      <c r="L42" s="47">
        <v>4.2000000000000003E-2</v>
      </c>
      <c r="M42" s="47">
        <v>4.2999999999999997E-2</v>
      </c>
      <c r="N42" s="47">
        <v>4.1000000000000002E-2</v>
      </c>
      <c r="O42" s="47">
        <v>4.2000000000000003E-2</v>
      </c>
      <c r="P42" s="46">
        <v>540</v>
      </c>
    </row>
    <row r="43" spans="3:16" x14ac:dyDescent="0.25">
      <c r="C43" s="58"/>
      <c r="D43" s="33">
        <v>4.2999999999999997E-2</v>
      </c>
      <c r="E43" s="33">
        <v>4.3999999999999997E-2</v>
      </c>
      <c r="F43" s="33">
        <v>4.2000000000000003E-2</v>
      </c>
      <c r="G43" s="33">
        <v>4.1000000000000002E-2</v>
      </c>
      <c r="H43" s="33">
        <v>4.1000000000000002E-2</v>
      </c>
      <c r="I43" s="33">
        <v>4.2000000000000003E-2</v>
      </c>
      <c r="J43" s="33">
        <v>4.2999999999999997E-2</v>
      </c>
      <c r="K43" s="33">
        <v>4.2000000000000003E-2</v>
      </c>
      <c r="L43" s="33">
        <v>4.1000000000000002E-2</v>
      </c>
      <c r="M43" s="33">
        <v>4.1000000000000002E-2</v>
      </c>
      <c r="N43" s="33">
        <v>0.04</v>
      </c>
      <c r="O43" s="33">
        <v>4.1000000000000002E-2</v>
      </c>
      <c r="P43" s="48">
        <v>570</v>
      </c>
    </row>
    <row r="44" spans="3:16" x14ac:dyDescent="0.25">
      <c r="C44" s="56" t="s">
        <v>141</v>
      </c>
      <c r="D44" s="45">
        <v>0.80400000000000005</v>
      </c>
      <c r="E44" s="45">
        <v>0.84</v>
      </c>
      <c r="F44" s="45">
        <v>0.19800000000000001</v>
      </c>
      <c r="G44" s="45">
        <v>0.2</v>
      </c>
      <c r="H44" s="45">
        <v>0.21199999999999999</v>
      </c>
      <c r="I44" s="45">
        <v>0.221</v>
      </c>
      <c r="J44" s="45">
        <v>0.434</v>
      </c>
      <c r="K44" s="45">
        <v>0.441</v>
      </c>
      <c r="L44" s="45">
        <v>0.20699999999999999</v>
      </c>
      <c r="M44" s="45">
        <v>0.20699999999999999</v>
      </c>
      <c r="N44" s="45">
        <v>0.17499999999999999</v>
      </c>
      <c r="O44" s="45">
        <v>0.16400000000000001</v>
      </c>
      <c r="P44" s="46">
        <v>450</v>
      </c>
    </row>
    <row r="45" spans="3:16" x14ac:dyDescent="0.25">
      <c r="C45" s="57"/>
      <c r="D45" s="47">
        <v>0.05</v>
      </c>
      <c r="E45" s="47">
        <v>5.2999999999999999E-2</v>
      </c>
      <c r="F45" s="47">
        <v>4.2999999999999997E-2</v>
      </c>
      <c r="G45" s="47">
        <v>4.3999999999999997E-2</v>
      </c>
      <c r="H45" s="47">
        <v>4.2999999999999997E-2</v>
      </c>
      <c r="I45" s="47">
        <v>4.7E-2</v>
      </c>
      <c r="J45" s="47">
        <v>4.9000000000000002E-2</v>
      </c>
      <c r="K45" s="47">
        <v>5.1999999999999998E-2</v>
      </c>
      <c r="L45" s="47">
        <v>4.5999999999999999E-2</v>
      </c>
      <c r="M45" s="47">
        <v>4.4999999999999998E-2</v>
      </c>
      <c r="N45" s="47">
        <v>4.2999999999999997E-2</v>
      </c>
      <c r="O45" s="47">
        <v>4.2000000000000003E-2</v>
      </c>
      <c r="P45" s="46">
        <v>540</v>
      </c>
    </row>
    <row r="46" spans="3:16" x14ac:dyDescent="0.25">
      <c r="C46" s="58"/>
      <c r="D46" s="33">
        <v>4.2999999999999997E-2</v>
      </c>
      <c r="E46" s="33">
        <v>4.4999999999999998E-2</v>
      </c>
      <c r="F46" s="33">
        <v>4.2000000000000003E-2</v>
      </c>
      <c r="G46" s="33">
        <v>4.2999999999999997E-2</v>
      </c>
      <c r="H46" s="33">
        <v>4.1000000000000002E-2</v>
      </c>
      <c r="I46" s="33">
        <v>4.4999999999999998E-2</v>
      </c>
      <c r="J46" s="33">
        <v>4.4999999999999998E-2</v>
      </c>
      <c r="K46" s="33">
        <v>4.8000000000000001E-2</v>
      </c>
      <c r="L46" s="33">
        <v>4.3999999999999997E-2</v>
      </c>
      <c r="M46" s="33">
        <v>4.3999999999999997E-2</v>
      </c>
      <c r="N46" s="33">
        <v>4.2000000000000003E-2</v>
      </c>
      <c r="O46" s="33">
        <v>4.1000000000000002E-2</v>
      </c>
      <c r="P46" s="48">
        <v>570</v>
      </c>
    </row>
    <row r="47" spans="3:16" x14ac:dyDescent="0.25">
      <c r="C47" s="56" t="s">
        <v>142</v>
      </c>
      <c r="D47" s="45">
        <v>0.53600000000000003</v>
      </c>
      <c r="E47" s="45">
        <v>0.53900000000000003</v>
      </c>
      <c r="F47" s="45">
        <v>0.20100000000000001</v>
      </c>
      <c r="G47" s="45">
        <v>0.20100000000000001</v>
      </c>
      <c r="H47" s="45">
        <v>0.20599999999999999</v>
      </c>
      <c r="I47" s="45">
        <v>0.21299999999999999</v>
      </c>
      <c r="J47" s="45">
        <v>0.17199999999999999</v>
      </c>
      <c r="K47" s="45">
        <v>0.16</v>
      </c>
      <c r="L47" s="45">
        <v>0.193</v>
      </c>
      <c r="M47" s="45">
        <v>0.2</v>
      </c>
      <c r="N47" s="45">
        <v>0.19400000000000001</v>
      </c>
      <c r="O47" s="45">
        <v>0.14899999999999999</v>
      </c>
      <c r="P47" s="46">
        <v>450</v>
      </c>
    </row>
    <row r="48" spans="3:16" x14ac:dyDescent="0.25">
      <c r="C48" s="57"/>
      <c r="D48" s="47">
        <v>4.8000000000000001E-2</v>
      </c>
      <c r="E48" s="47">
        <v>4.7E-2</v>
      </c>
      <c r="F48" s="47">
        <v>4.3999999999999997E-2</v>
      </c>
      <c r="G48" s="47">
        <v>4.3999999999999997E-2</v>
      </c>
      <c r="H48" s="47">
        <v>4.3999999999999997E-2</v>
      </c>
      <c r="I48" s="47">
        <v>4.3999999999999997E-2</v>
      </c>
      <c r="J48" s="47">
        <v>4.7E-2</v>
      </c>
      <c r="K48" s="47">
        <v>4.8000000000000001E-2</v>
      </c>
      <c r="L48" s="47">
        <v>4.5999999999999999E-2</v>
      </c>
      <c r="M48" s="47">
        <v>4.3999999999999997E-2</v>
      </c>
      <c r="N48" s="47">
        <v>4.8000000000000001E-2</v>
      </c>
      <c r="O48" s="47">
        <v>4.2999999999999997E-2</v>
      </c>
      <c r="P48" s="46">
        <v>540</v>
      </c>
    </row>
    <row r="49" spans="3:16" x14ac:dyDescent="0.25">
      <c r="C49" s="58"/>
      <c r="D49" s="33">
        <v>4.2999999999999997E-2</v>
      </c>
      <c r="E49" s="33">
        <v>4.2000000000000003E-2</v>
      </c>
      <c r="F49" s="33">
        <v>4.2999999999999997E-2</v>
      </c>
      <c r="G49" s="33">
        <v>4.2000000000000003E-2</v>
      </c>
      <c r="H49" s="33">
        <v>4.2999999999999997E-2</v>
      </c>
      <c r="I49" s="33">
        <v>4.2000000000000003E-2</v>
      </c>
      <c r="J49" s="33">
        <v>4.4999999999999998E-2</v>
      </c>
      <c r="K49" s="33">
        <v>4.5999999999999999E-2</v>
      </c>
      <c r="L49" s="33">
        <v>4.3999999999999997E-2</v>
      </c>
      <c r="M49" s="33">
        <v>4.2000000000000003E-2</v>
      </c>
      <c r="N49" s="33">
        <v>4.5999999999999999E-2</v>
      </c>
      <c r="O49" s="33">
        <v>4.2000000000000003E-2</v>
      </c>
      <c r="P49" s="48">
        <v>570</v>
      </c>
    </row>
    <row r="50" spans="3:16" x14ac:dyDescent="0.25">
      <c r="C50" s="56" t="s">
        <v>143</v>
      </c>
      <c r="D50" s="45">
        <v>0.38600000000000001</v>
      </c>
      <c r="E50" s="45">
        <v>0.38800000000000001</v>
      </c>
      <c r="F50" s="45">
        <v>0.20599999999999999</v>
      </c>
      <c r="G50" s="45">
        <v>0.20899999999999999</v>
      </c>
      <c r="H50" s="45">
        <v>0.20300000000000001</v>
      </c>
      <c r="I50" s="45">
        <v>0.20200000000000001</v>
      </c>
      <c r="J50" s="45">
        <v>0.161</v>
      </c>
      <c r="K50" s="45">
        <v>0.159</v>
      </c>
      <c r="L50" s="45">
        <v>0.17100000000000001</v>
      </c>
      <c r="M50" s="45">
        <v>0.158</v>
      </c>
      <c r="N50" s="45">
        <v>0.19700000000000001</v>
      </c>
      <c r="O50" s="45">
        <v>0.16500000000000001</v>
      </c>
      <c r="P50" s="46">
        <v>450</v>
      </c>
    </row>
    <row r="51" spans="3:16" x14ac:dyDescent="0.25">
      <c r="C51" s="57"/>
      <c r="D51" s="47">
        <v>4.4999999999999998E-2</v>
      </c>
      <c r="E51" s="47">
        <v>4.3999999999999997E-2</v>
      </c>
      <c r="F51" s="47">
        <v>4.3999999999999997E-2</v>
      </c>
      <c r="G51" s="47">
        <v>4.4999999999999998E-2</v>
      </c>
      <c r="H51" s="47">
        <v>4.4999999999999998E-2</v>
      </c>
      <c r="I51" s="47">
        <v>4.2999999999999997E-2</v>
      </c>
      <c r="J51" s="47">
        <v>4.2000000000000003E-2</v>
      </c>
      <c r="K51" s="47">
        <v>4.2999999999999997E-2</v>
      </c>
      <c r="L51" s="47">
        <v>4.4999999999999998E-2</v>
      </c>
      <c r="M51" s="47">
        <v>4.3999999999999997E-2</v>
      </c>
      <c r="N51" s="47">
        <v>4.3999999999999997E-2</v>
      </c>
      <c r="O51" s="47">
        <v>4.2000000000000003E-2</v>
      </c>
      <c r="P51" s="46">
        <v>540</v>
      </c>
    </row>
    <row r="52" spans="3:16" x14ac:dyDescent="0.25">
      <c r="C52" s="58"/>
      <c r="D52" s="33">
        <v>4.2000000000000003E-2</v>
      </c>
      <c r="E52" s="33">
        <v>4.1000000000000002E-2</v>
      </c>
      <c r="F52" s="33">
        <v>4.2000000000000003E-2</v>
      </c>
      <c r="G52" s="33">
        <v>4.2999999999999997E-2</v>
      </c>
      <c r="H52" s="33">
        <v>4.3999999999999997E-2</v>
      </c>
      <c r="I52" s="33">
        <v>4.1000000000000002E-2</v>
      </c>
      <c r="J52" s="33">
        <v>4.1000000000000002E-2</v>
      </c>
      <c r="K52" s="33">
        <v>4.2000000000000003E-2</v>
      </c>
      <c r="L52" s="33">
        <v>4.3999999999999997E-2</v>
      </c>
      <c r="M52" s="33">
        <v>4.2000000000000003E-2</v>
      </c>
      <c r="N52" s="33">
        <v>4.2999999999999997E-2</v>
      </c>
      <c r="O52" s="33">
        <v>4.1000000000000002E-2</v>
      </c>
      <c r="P52" s="48">
        <v>570</v>
      </c>
    </row>
    <row r="53" spans="3:16" x14ac:dyDescent="0.25">
      <c r="C53" s="56" t="s">
        <v>144</v>
      </c>
      <c r="D53" s="45">
        <v>0.32600000000000001</v>
      </c>
      <c r="E53" s="45">
        <v>0.33800000000000002</v>
      </c>
      <c r="F53" s="45">
        <v>0.20899999999999999</v>
      </c>
      <c r="G53" s="45">
        <v>0.21</v>
      </c>
      <c r="H53" s="45">
        <v>0.189</v>
      </c>
      <c r="I53" s="45">
        <v>0.192</v>
      </c>
      <c r="J53" s="45">
        <v>0.2</v>
      </c>
      <c r="K53" s="45">
        <v>0.183</v>
      </c>
      <c r="L53" s="45">
        <v>0.159</v>
      </c>
      <c r="M53" s="45">
        <v>0.16500000000000001</v>
      </c>
      <c r="N53" s="45">
        <v>0.20399999999999999</v>
      </c>
      <c r="O53" s="45">
        <v>0.17</v>
      </c>
      <c r="P53" s="46">
        <v>450</v>
      </c>
    </row>
    <row r="54" spans="3:16" x14ac:dyDescent="0.25">
      <c r="C54" s="57"/>
      <c r="D54" s="47">
        <v>4.5999999999999999E-2</v>
      </c>
      <c r="E54" s="47">
        <v>4.3999999999999997E-2</v>
      </c>
      <c r="F54" s="47">
        <v>4.3999999999999997E-2</v>
      </c>
      <c r="G54" s="47">
        <v>4.2999999999999997E-2</v>
      </c>
      <c r="H54" s="47">
        <v>4.3999999999999997E-2</v>
      </c>
      <c r="I54" s="47">
        <v>4.4999999999999998E-2</v>
      </c>
      <c r="J54" s="47">
        <v>4.8000000000000001E-2</v>
      </c>
      <c r="K54" s="47">
        <v>4.4999999999999998E-2</v>
      </c>
      <c r="L54" s="47">
        <v>4.3999999999999997E-2</v>
      </c>
      <c r="M54" s="47">
        <v>4.3999999999999997E-2</v>
      </c>
      <c r="N54" s="47">
        <v>4.7E-2</v>
      </c>
      <c r="O54" s="47">
        <v>4.2000000000000003E-2</v>
      </c>
      <c r="P54" s="46">
        <v>540</v>
      </c>
    </row>
    <row r="55" spans="3:16" x14ac:dyDescent="0.25">
      <c r="C55" s="58"/>
      <c r="D55" s="33">
        <v>4.2999999999999997E-2</v>
      </c>
      <c r="E55" s="33">
        <v>4.1000000000000002E-2</v>
      </c>
      <c r="F55" s="33">
        <v>4.2999999999999997E-2</v>
      </c>
      <c r="G55" s="33">
        <v>4.1000000000000002E-2</v>
      </c>
      <c r="H55" s="33">
        <v>4.2999999999999997E-2</v>
      </c>
      <c r="I55" s="33">
        <v>4.2999999999999997E-2</v>
      </c>
      <c r="J55" s="33">
        <v>4.5999999999999999E-2</v>
      </c>
      <c r="K55" s="33">
        <v>4.3999999999999997E-2</v>
      </c>
      <c r="L55" s="33">
        <v>4.2999999999999997E-2</v>
      </c>
      <c r="M55" s="33">
        <v>4.2999999999999997E-2</v>
      </c>
      <c r="N55" s="33">
        <v>4.4999999999999998E-2</v>
      </c>
      <c r="O55" s="33">
        <v>4.1000000000000002E-2</v>
      </c>
      <c r="P55" s="48">
        <v>570</v>
      </c>
    </row>
    <row r="56" spans="3:16" x14ac:dyDescent="0.25">
      <c r="C56" s="56" t="s">
        <v>145</v>
      </c>
      <c r="D56" s="45">
        <v>7.0999999999999994E-2</v>
      </c>
      <c r="E56" s="45">
        <v>8.7999999999999995E-2</v>
      </c>
      <c r="F56" s="45">
        <v>0.22</v>
      </c>
      <c r="G56" s="45">
        <v>0.20799999999999999</v>
      </c>
      <c r="H56" s="45">
        <v>0.2</v>
      </c>
      <c r="I56" s="45">
        <v>0.19800000000000001</v>
      </c>
      <c r="J56" s="45">
        <v>0.19900000000000001</v>
      </c>
      <c r="K56" s="45">
        <v>0.19400000000000001</v>
      </c>
      <c r="L56" s="45">
        <v>0.17199999999999999</v>
      </c>
      <c r="M56" s="45">
        <v>0.18</v>
      </c>
      <c r="N56" s="45">
        <v>0.22700000000000001</v>
      </c>
      <c r="O56" s="45">
        <v>0.22800000000000001</v>
      </c>
      <c r="P56" s="46">
        <v>450</v>
      </c>
    </row>
    <row r="57" spans="3:16" x14ac:dyDescent="0.25">
      <c r="C57" s="57"/>
      <c r="D57" s="47">
        <v>5.7000000000000002E-2</v>
      </c>
      <c r="E57" s="47">
        <v>4.3999999999999997E-2</v>
      </c>
      <c r="F57" s="47">
        <v>4.2999999999999997E-2</v>
      </c>
      <c r="G57" s="47">
        <v>4.3999999999999997E-2</v>
      </c>
      <c r="H57" s="47">
        <v>4.4999999999999998E-2</v>
      </c>
      <c r="I57" s="47">
        <v>4.2999999999999997E-2</v>
      </c>
      <c r="J57" s="47">
        <v>4.2999999999999997E-2</v>
      </c>
      <c r="K57" s="47">
        <v>4.2000000000000003E-2</v>
      </c>
      <c r="L57" s="47">
        <v>4.2000000000000003E-2</v>
      </c>
      <c r="M57" s="47">
        <v>4.2000000000000003E-2</v>
      </c>
      <c r="N57" s="47">
        <v>4.2999999999999997E-2</v>
      </c>
      <c r="O57" s="47">
        <v>4.4999999999999998E-2</v>
      </c>
      <c r="P57" s="46">
        <v>540</v>
      </c>
    </row>
    <row r="58" spans="3:16" x14ac:dyDescent="0.25">
      <c r="C58" s="58"/>
      <c r="D58" s="33">
        <v>5.3999999999999999E-2</v>
      </c>
      <c r="E58" s="33">
        <v>4.2000000000000003E-2</v>
      </c>
      <c r="F58" s="33">
        <v>4.1000000000000002E-2</v>
      </c>
      <c r="G58" s="33">
        <v>4.2000000000000003E-2</v>
      </c>
      <c r="H58" s="33">
        <v>4.2999999999999997E-2</v>
      </c>
      <c r="I58" s="33">
        <v>4.2000000000000003E-2</v>
      </c>
      <c r="J58" s="33">
        <v>4.1000000000000002E-2</v>
      </c>
      <c r="K58" s="33">
        <v>4.1000000000000002E-2</v>
      </c>
      <c r="L58" s="33">
        <v>4.1000000000000002E-2</v>
      </c>
      <c r="M58" s="33">
        <v>4.1000000000000002E-2</v>
      </c>
      <c r="N58" s="33">
        <v>4.2000000000000003E-2</v>
      </c>
      <c r="O58" s="33">
        <v>4.2999999999999997E-2</v>
      </c>
      <c r="P58" s="48">
        <v>570</v>
      </c>
    </row>
    <row r="59" spans="3:16" x14ac:dyDescent="0.25">
      <c r="P59" s="48"/>
    </row>
    <row r="60" spans="3:16" x14ac:dyDescent="0.25">
      <c r="P60" s="48"/>
    </row>
    <row r="61" spans="3:16" x14ac:dyDescent="0.25">
      <c r="P61" s="48"/>
    </row>
    <row r="62" spans="3:16" ht="26.25" x14ac:dyDescent="0.4"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48"/>
    </row>
    <row r="63" spans="3:16" ht="26.25" x14ac:dyDescent="0.4">
      <c r="D63" s="59" t="s">
        <v>152</v>
      </c>
      <c r="E63" s="59"/>
      <c r="F63" s="60" t="s">
        <v>157</v>
      </c>
      <c r="G63" s="60"/>
      <c r="H63" s="60"/>
      <c r="I63" s="60"/>
      <c r="J63" s="60"/>
      <c r="K63" s="60"/>
      <c r="L63" s="60"/>
      <c r="M63" s="60"/>
      <c r="N63" s="60"/>
      <c r="O63" s="60"/>
      <c r="P63" s="48"/>
    </row>
    <row r="64" spans="3:16" x14ac:dyDescent="0.25">
      <c r="C64" s="26"/>
      <c r="D64" s="27">
        <v>1</v>
      </c>
      <c r="E64" s="27">
        <v>2</v>
      </c>
      <c r="F64" s="27">
        <v>3</v>
      </c>
      <c r="G64" s="27">
        <v>4</v>
      </c>
      <c r="H64" s="27">
        <v>5</v>
      </c>
      <c r="I64" s="27">
        <v>6</v>
      </c>
      <c r="J64" s="27">
        <v>7</v>
      </c>
      <c r="K64" s="27">
        <v>8</v>
      </c>
      <c r="L64" s="27">
        <v>9</v>
      </c>
      <c r="M64" s="27">
        <v>10</v>
      </c>
      <c r="N64" s="27">
        <v>11</v>
      </c>
      <c r="O64" s="27">
        <v>12</v>
      </c>
      <c r="P64" s="48"/>
    </row>
    <row r="65" spans="3:16" x14ac:dyDescent="0.25">
      <c r="C65" s="56" t="s">
        <v>138</v>
      </c>
      <c r="D65" s="45">
        <v>2.516</v>
      </c>
      <c r="E65" s="45">
        <v>2.4550000000000001</v>
      </c>
      <c r="F65" s="45">
        <v>0.193</v>
      </c>
      <c r="G65" s="45">
        <v>0.186</v>
      </c>
      <c r="H65" s="45">
        <v>0.14599999999999999</v>
      </c>
      <c r="I65" s="45">
        <v>0.14799999999999999</v>
      </c>
      <c r="J65" s="45">
        <v>0.19500000000000001</v>
      </c>
      <c r="K65" s="45">
        <v>0.19</v>
      </c>
      <c r="L65" s="45">
        <v>0.16200000000000001</v>
      </c>
      <c r="M65" s="45">
        <v>0.16400000000000001</v>
      </c>
      <c r="N65" s="45">
        <v>0.156</v>
      </c>
      <c r="O65" s="45">
        <v>0.14599999999999999</v>
      </c>
      <c r="P65" s="46">
        <v>450</v>
      </c>
    </row>
    <row r="66" spans="3:16" x14ac:dyDescent="0.25">
      <c r="C66" s="57"/>
      <c r="D66" s="47">
        <v>7.1999999999999995E-2</v>
      </c>
      <c r="E66" s="47">
        <v>7.0000000000000007E-2</v>
      </c>
      <c r="F66" s="47">
        <v>4.2999999999999997E-2</v>
      </c>
      <c r="G66" s="47">
        <v>4.3999999999999997E-2</v>
      </c>
      <c r="H66" s="47">
        <v>4.2999999999999997E-2</v>
      </c>
      <c r="I66" s="47">
        <v>4.2999999999999997E-2</v>
      </c>
      <c r="J66" s="47">
        <v>4.2999999999999997E-2</v>
      </c>
      <c r="K66" s="47">
        <v>4.3999999999999997E-2</v>
      </c>
      <c r="L66" s="47">
        <v>4.2999999999999997E-2</v>
      </c>
      <c r="M66" s="47">
        <v>4.2999999999999997E-2</v>
      </c>
      <c r="N66" s="47">
        <v>4.1000000000000002E-2</v>
      </c>
      <c r="O66" s="47">
        <v>4.2000000000000003E-2</v>
      </c>
      <c r="P66" s="46">
        <v>540</v>
      </c>
    </row>
    <row r="67" spans="3:16" x14ac:dyDescent="0.25">
      <c r="C67" s="58"/>
      <c r="D67" s="33">
        <v>4.8000000000000001E-2</v>
      </c>
      <c r="E67" s="33">
        <v>4.7E-2</v>
      </c>
      <c r="F67" s="33">
        <v>4.2000000000000003E-2</v>
      </c>
      <c r="G67" s="33">
        <v>4.2000000000000003E-2</v>
      </c>
      <c r="H67" s="33">
        <v>4.2000000000000003E-2</v>
      </c>
      <c r="I67" s="33">
        <v>4.1000000000000002E-2</v>
      </c>
      <c r="J67" s="33">
        <v>4.2000000000000003E-2</v>
      </c>
      <c r="K67" s="33">
        <v>4.2000000000000003E-2</v>
      </c>
      <c r="L67" s="33">
        <v>4.1000000000000002E-2</v>
      </c>
      <c r="M67" s="33">
        <v>4.1000000000000002E-2</v>
      </c>
      <c r="N67" s="33">
        <v>0.04</v>
      </c>
      <c r="O67" s="33">
        <v>0.04</v>
      </c>
      <c r="P67" s="48">
        <v>570</v>
      </c>
    </row>
    <row r="68" spans="3:16" x14ac:dyDescent="0.25">
      <c r="C68" s="56" t="s">
        <v>139</v>
      </c>
      <c r="D68" s="45">
        <v>1.673</v>
      </c>
      <c r="E68" s="45">
        <v>1.4550000000000001</v>
      </c>
      <c r="F68" s="45">
        <v>0.182</v>
      </c>
      <c r="G68" s="45">
        <v>0.161</v>
      </c>
      <c r="H68" s="45">
        <v>0.14899999999999999</v>
      </c>
      <c r="I68" s="45">
        <v>0.13500000000000001</v>
      </c>
      <c r="J68" s="45">
        <v>0.17699999999999999</v>
      </c>
      <c r="K68" s="45">
        <v>0.17899999999999999</v>
      </c>
      <c r="L68" s="45">
        <v>0.191</v>
      </c>
      <c r="M68" s="45">
        <v>0.19400000000000001</v>
      </c>
      <c r="N68" s="45">
        <v>0.151</v>
      </c>
      <c r="O68" s="45">
        <v>0.14000000000000001</v>
      </c>
      <c r="P68" s="46">
        <v>450</v>
      </c>
    </row>
    <row r="69" spans="3:16" x14ac:dyDescent="0.25">
      <c r="C69" s="57"/>
      <c r="D69" s="47">
        <v>6.0999999999999999E-2</v>
      </c>
      <c r="E69" s="47">
        <v>5.8000000000000003E-2</v>
      </c>
      <c r="F69" s="47">
        <v>4.4999999999999998E-2</v>
      </c>
      <c r="G69" s="47">
        <v>4.2999999999999997E-2</v>
      </c>
      <c r="H69" s="47">
        <v>4.9000000000000002E-2</v>
      </c>
      <c r="I69" s="47">
        <v>4.2000000000000003E-2</v>
      </c>
      <c r="J69" s="47">
        <v>4.2000000000000003E-2</v>
      </c>
      <c r="K69" s="47">
        <v>4.2999999999999997E-2</v>
      </c>
      <c r="L69" s="47">
        <v>4.2999999999999997E-2</v>
      </c>
      <c r="M69" s="47">
        <v>4.2999999999999997E-2</v>
      </c>
      <c r="N69" s="47">
        <v>4.2999999999999997E-2</v>
      </c>
      <c r="O69" s="47">
        <v>4.2000000000000003E-2</v>
      </c>
      <c r="P69" s="46">
        <v>540</v>
      </c>
    </row>
    <row r="70" spans="3:16" x14ac:dyDescent="0.25">
      <c r="C70" s="58"/>
      <c r="D70" s="33">
        <v>4.4999999999999998E-2</v>
      </c>
      <c r="E70" s="33">
        <v>4.3999999999999997E-2</v>
      </c>
      <c r="F70" s="33">
        <v>4.3999999999999997E-2</v>
      </c>
      <c r="G70" s="33">
        <v>4.2000000000000003E-2</v>
      </c>
      <c r="H70" s="33">
        <v>4.7E-2</v>
      </c>
      <c r="I70" s="33">
        <v>4.1000000000000002E-2</v>
      </c>
      <c r="J70" s="33">
        <v>4.1000000000000002E-2</v>
      </c>
      <c r="K70" s="33">
        <v>4.1000000000000002E-2</v>
      </c>
      <c r="L70" s="33">
        <v>4.1000000000000002E-2</v>
      </c>
      <c r="M70" s="33">
        <v>4.1000000000000002E-2</v>
      </c>
      <c r="N70" s="33">
        <v>4.2000000000000003E-2</v>
      </c>
      <c r="O70" s="33">
        <v>4.1000000000000002E-2</v>
      </c>
      <c r="P70" s="48">
        <v>570</v>
      </c>
    </row>
    <row r="71" spans="3:16" x14ac:dyDescent="0.25">
      <c r="C71" s="56" t="s">
        <v>140</v>
      </c>
      <c r="D71" s="45">
        <v>1.04</v>
      </c>
      <c r="E71" s="45">
        <v>0.92700000000000005</v>
      </c>
      <c r="F71" s="45">
        <v>0.16500000000000001</v>
      </c>
      <c r="G71" s="45">
        <v>0.17299999999999999</v>
      </c>
      <c r="H71" s="45">
        <v>0.13500000000000001</v>
      </c>
      <c r="I71" s="45">
        <v>0.13400000000000001</v>
      </c>
      <c r="J71" s="45">
        <v>0.184</v>
      </c>
      <c r="K71" s="45">
        <v>0.186</v>
      </c>
      <c r="L71" s="45">
        <v>0.157</v>
      </c>
      <c r="M71" s="45">
        <v>0.159</v>
      </c>
      <c r="N71" s="45">
        <v>0.16</v>
      </c>
      <c r="O71" s="45">
        <v>0.14299999999999999</v>
      </c>
      <c r="P71" s="46">
        <v>450</v>
      </c>
    </row>
    <row r="72" spans="3:16" x14ac:dyDescent="0.25">
      <c r="C72" s="57"/>
      <c r="D72" s="47">
        <v>5.3999999999999999E-2</v>
      </c>
      <c r="E72" s="47">
        <v>5.0999999999999997E-2</v>
      </c>
      <c r="F72" s="47">
        <v>4.2999999999999997E-2</v>
      </c>
      <c r="G72" s="47">
        <v>4.3999999999999997E-2</v>
      </c>
      <c r="H72" s="47">
        <v>4.2999999999999997E-2</v>
      </c>
      <c r="I72" s="47">
        <v>4.2999999999999997E-2</v>
      </c>
      <c r="J72" s="47">
        <v>4.2999999999999997E-2</v>
      </c>
      <c r="K72" s="47">
        <v>4.2999999999999997E-2</v>
      </c>
      <c r="L72" s="47">
        <v>4.3999999999999997E-2</v>
      </c>
      <c r="M72" s="47">
        <v>4.3999999999999997E-2</v>
      </c>
      <c r="N72" s="47">
        <v>4.2000000000000003E-2</v>
      </c>
      <c r="O72" s="47">
        <v>4.2000000000000003E-2</v>
      </c>
      <c r="P72" s="46">
        <v>540</v>
      </c>
    </row>
    <row r="73" spans="3:16" x14ac:dyDescent="0.25">
      <c r="C73" s="58"/>
      <c r="D73" s="33">
        <v>4.3999999999999997E-2</v>
      </c>
      <c r="E73" s="33">
        <v>4.2999999999999997E-2</v>
      </c>
      <c r="F73" s="33">
        <v>4.1000000000000002E-2</v>
      </c>
      <c r="G73" s="33">
        <v>4.2999999999999997E-2</v>
      </c>
      <c r="H73" s="33">
        <v>4.2000000000000003E-2</v>
      </c>
      <c r="I73" s="33">
        <v>4.2000000000000003E-2</v>
      </c>
      <c r="J73" s="33">
        <v>4.2000000000000003E-2</v>
      </c>
      <c r="K73" s="33">
        <v>4.1000000000000002E-2</v>
      </c>
      <c r="L73" s="33">
        <v>4.2999999999999997E-2</v>
      </c>
      <c r="M73" s="33">
        <v>4.2000000000000003E-2</v>
      </c>
      <c r="N73" s="33">
        <v>4.1000000000000002E-2</v>
      </c>
      <c r="O73" s="33">
        <v>0.04</v>
      </c>
      <c r="P73" s="48">
        <v>570</v>
      </c>
    </row>
    <row r="74" spans="3:16" x14ac:dyDescent="0.25">
      <c r="C74" s="56" t="s">
        <v>141</v>
      </c>
      <c r="D74" s="45">
        <v>0.63700000000000001</v>
      </c>
      <c r="E74" s="45">
        <v>0.58599999999999997</v>
      </c>
      <c r="F74" s="45">
        <v>0.23300000000000001</v>
      </c>
      <c r="G74" s="45">
        <v>0.23</v>
      </c>
      <c r="H74" s="45">
        <v>0.13500000000000001</v>
      </c>
      <c r="I74" s="45">
        <v>0.13700000000000001</v>
      </c>
      <c r="J74" s="45">
        <v>0.16500000000000001</v>
      </c>
      <c r="K74" s="45">
        <v>0.16200000000000001</v>
      </c>
      <c r="L74" s="45">
        <v>0.20300000000000001</v>
      </c>
      <c r="M74" s="45">
        <v>0.20699999999999999</v>
      </c>
      <c r="N74" s="45">
        <v>0.14199999999999999</v>
      </c>
      <c r="O74" s="45">
        <v>0.13500000000000001</v>
      </c>
      <c r="P74" s="46">
        <v>450</v>
      </c>
    </row>
    <row r="75" spans="3:16" x14ac:dyDescent="0.25">
      <c r="C75" s="57"/>
      <c r="D75" s="47">
        <v>4.9000000000000002E-2</v>
      </c>
      <c r="E75" s="47">
        <v>4.7E-2</v>
      </c>
      <c r="F75" s="47">
        <v>4.4999999999999998E-2</v>
      </c>
      <c r="G75" s="47">
        <v>4.3999999999999997E-2</v>
      </c>
      <c r="H75" s="47">
        <v>4.2999999999999997E-2</v>
      </c>
      <c r="I75" s="47">
        <v>4.2999999999999997E-2</v>
      </c>
      <c r="J75" s="47">
        <v>4.2999999999999997E-2</v>
      </c>
      <c r="K75" s="47">
        <v>4.2999999999999997E-2</v>
      </c>
      <c r="L75" s="47">
        <v>4.3999999999999997E-2</v>
      </c>
      <c r="M75" s="47">
        <v>4.2999999999999997E-2</v>
      </c>
      <c r="N75" s="47">
        <v>4.2000000000000003E-2</v>
      </c>
      <c r="O75" s="47">
        <v>4.2000000000000003E-2</v>
      </c>
      <c r="P75" s="46">
        <v>540</v>
      </c>
    </row>
    <row r="76" spans="3:16" x14ac:dyDescent="0.25">
      <c r="C76" s="58"/>
      <c r="D76" s="33">
        <v>4.2999999999999997E-2</v>
      </c>
      <c r="E76" s="33">
        <v>4.2000000000000003E-2</v>
      </c>
      <c r="F76" s="33">
        <v>4.2999999999999997E-2</v>
      </c>
      <c r="G76" s="33">
        <v>4.2000000000000003E-2</v>
      </c>
      <c r="H76" s="33">
        <v>4.1000000000000002E-2</v>
      </c>
      <c r="I76" s="33">
        <v>4.2000000000000003E-2</v>
      </c>
      <c r="J76" s="33">
        <v>4.2000000000000003E-2</v>
      </c>
      <c r="K76" s="33">
        <v>4.1000000000000002E-2</v>
      </c>
      <c r="L76" s="33">
        <v>4.2000000000000003E-2</v>
      </c>
      <c r="M76" s="33">
        <v>4.1000000000000002E-2</v>
      </c>
      <c r="N76" s="33">
        <v>4.1000000000000002E-2</v>
      </c>
      <c r="O76" s="33">
        <v>4.1000000000000002E-2</v>
      </c>
      <c r="P76" s="48">
        <v>570</v>
      </c>
    </row>
    <row r="77" spans="3:16" x14ac:dyDescent="0.25">
      <c r="C77" s="56" t="s">
        <v>142</v>
      </c>
      <c r="D77" s="45">
        <v>0.42</v>
      </c>
      <c r="E77" s="45">
        <v>0.38100000000000001</v>
      </c>
      <c r="F77" s="45">
        <v>0.36899999999999999</v>
      </c>
      <c r="G77" s="45">
        <v>0.36799999999999999</v>
      </c>
      <c r="H77" s="45">
        <v>0.14899999999999999</v>
      </c>
      <c r="I77" s="45">
        <v>0.14899999999999999</v>
      </c>
      <c r="J77" s="45">
        <v>0.126</v>
      </c>
      <c r="K77" s="45">
        <v>0.11799999999999999</v>
      </c>
      <c r="L77" s="45">
        <v>0.20499999999999999</v>
      </c>
      <c r="M77" s="45">
        <v>0.19800000000000001</v>
      </c>
      <c r="N77" s="45">
        <v>0.129</v>
      </c>
      <c r="O77" s="45">
        <v>0.129</v>
      </c>
      <c r="P77" s="46">
        <v>450</v>
      </c>
    </row>
    <row r="78" spans="3:16" x14ac:dyDescent="0.25">
      <c r="C78" s="57"/>
      <c r="D78" s="47">
        <v>4.7E-2</v>
      </c>
      <c r="E78" s="47">
        <v>4.4999999999999998E-2</v>
      </c>
      <c r="F78" s="47">
        <v>4.4999999999999998E-2</v>
      </c>
      <c r="G78" s="47">
        <v>4.4999999999999998E-2</v>
      </c>
      <c r="H78" s="47">
        <v>4.2999999999999997E-2</v>
      </c>
      <c r="I78" s="47">
        <v>4.3999999999999997E-2</v>
      </c>
      <c r="J78" s="47">
        <v>4.2000000000000003E-2</v>
      </c>
      <c r="K78" s="47">
        <v>4.2999999999999997E-2</v>
      </c>
      <c r="L78" s="47">
        <v>4.2999999999999997E-2</v>
      </c>
      <c r="M78" s="47">
        <v>4.2999999999999997E-2</v>
      </c>
      <c r="N78" s="47">
        <v>4.2999999999999997E-2</v>
      </c>
      <c r="O78" s="47">
        <v>4.2000000000000003E-2</v>
      </c>
      <c r="P78" s="46">
        <v>540</v>
      </c>
    </row>
    <row r="79" spans="3:16" x14ac:dyDescent="0.25">
      <c r="C79" s="58"/>
      <c r="D79" s="33">
        <v>4.2999999999999997E-2</v>
      </c>
      <c r="E79" s="33">
        <v>4.2000000000000003E-2</v>
      </c>
      <c r="F79" s="33">
        <v>4.2000000000000003E-2</v>
      </c>
      <c r="G79" s="33">
        <v>4.2000000000000003E-2</v>
      </c>
      <c r="H79" s="33">
        <v>4.2000000000000003E-2</v>
      </c>
      <c r="I79" s="33">
        <v>4.2999999999999997E-2</v>
      </c>
      <c r="J79" s="33">
        <v>4.1000000000000002E-2</v>
      </c>
      <c r="K79" s="33">
        <v>4.2000000000000003E-2</v>
      </c>
      <c r="L79" s="33">
        <v>4.1000000000000002E-2</v>
      </c>
      <c r="M79" s="33">
        <v>4.1000000000000002E-2</v>
      </c>
      <c r="N79" s="33">
        <v>4.2000000000000003E-2</v>
      </c>
      <c r="O79" s="33">
        <v>4.1000000000000002E-2</v>
      </c>
      <c r="P79" s="48">
        <v>570</v>
      </c>
    </row>
    <row r="80" spans="3:16" x14ac:dyDescent="0.25">
      <c r="C80" s="56" t="s">
        <v>143</v>
      </c>
      <c r="D80" s="45">
        <v>0.30499999999999999</v>
      </c>
      <c r="E80" s="45">
        <v>0.27600000000000002</v>
      </c>
      <c r="F80" s="45">
        <v>0.29199999999999998</v>
      </c>
      <c r="G80" s="45">
        <v>0.29499999999999998</v>
      </c>
      <c r="H80" s="45">
        <v>0.14699999999999999</v>
      </c>
      <c r="I80" s="45">
        <v>0.14299999999999999</v>
      </c>
      <c r="J80" s="45">
        <v>0.13300000000000001</v>
      </c>
      <c r="K80" s="45">
        <v>0.129</v>
      </c>
      <c r="L80" s="45">
        <v>0.20100000000000001</v>
      </c>
      <c r="M80" s="45">
        <v>0.20899999999999999</v>
      </c>
      <c r="N80" s="45">
        <v>0.129</v>
      </c>
      <c r="O80" s="45">
        <v>0.125</v>
      </c>
      <c r="P80" s="46">
        <v>450</v>
      </c>
    </row>
    <row r="81" spans="3:16" x14ac:dyDescent="0.25">
      <c r="C81" s="57"/>
      <c r="D81" s="47">
        <v>4.4999999999999998E-2</v>
      </c>
      <c r="E81" s="47">
        <v>4.3999999999999997E-2</v>
      </c>
      <c r="F81" s="47">
        <v>4.3999999999999997E-2</v>
      </c>
      <c r="G81" s="47">
        <v>4.4999999999999998E-2</v>
      </c>
      <c r="H81" s="47">
        <v>4.2999999999999997E-2</v>
      </c>
      <c r="I81" s="47">
        <v>4.2000000000000003E-2</v>
      </c>
      <c r="J81" s="47">
        <v>4.2999999999999997E-2</v>
      </c>
      <c r="K81" s="47">
        <v>4.4999999999999998E-2</v>
      </c>
      <c r="L81" s="47">
        <v>4.3999999999999997E-2</v>
      </c>
      <c r="M81" s="47">
        <v>4.2999999999999997E-2</v>
      </c>
      <c r="N81" s="47">
        <v>4.2999999999999997E-2</v>
      </c>
      <c r="O81" s="47">
        <v>4.2000000000000003E-2</v>
      </c>
      <c r="P81" s="46">
        <v>540</v>
      </c>
    </row>
    <row r="82" spans="3:16" x14ac:dyDescent="0.25">
      <c r="C82" s="58"/>
      <c r="D82" s="33">
        <v>4.2000000000000003E-2</v>
      </c>
      <c r="E82" s="33">
        <v>4.2000000000000003E-2</v>
      </c>
      <c r="F82" s="33">
        <v>4.1000000000000002E-2</v>
      </c>
      <c r="G82" s="33">
        <v>4.2000000000000003E-2</v>
      </c>
      <c r="H82" s="33">
        <v>4.2000000000000003E-2</v>
      </c>
      <c r="I82" s="33">
        <v>4.1000000000000002E-2</v>
      </c>
      <c r="J82" s="33">
        <v>4.2999999999999997E-2</v>
      </c>
      <c r="K82" s="33">
        <v>4.3999999999999997E-2</v>
      </c>
      <c r="L82" s="33">
        <v>4.2000000000000003E-2</v>
      </c>
      <c r="M82" s="33">
        <v>4.1000000000000002E-2</v>
      </c>
      <c r="N82" s="33">
        <v>4.1000000000000002E-2</v>
      </c>
      <c r="O82" s="33">
        <v>4.1000000000000002E-2</v>
      </c>
      <c r="P82" s="48">
        <v>570</v>
      </c>
    </row>
    <row r="83" spans="3:16" x14ac:dyDescent="0.25">
      <c r="C83" s="56" t="s">
        <v>144</v>
      </c>
      <c r="D83" s="45">
        <v>0.26100000000000001</v>
      </c>
      <c r="E83" s="45">
        <v>0.26100000000000001</v>
      </c>
      <c r="F83" s="45">
        <v>0.35599999999999998</v>
      </c>
      <c r="G83" s="45">
        <v>0.377</v>
      </c>
      <c r="H83" s="45">
        <v>0.13</v>
      </c>
      <c r="I83" s="45">
        <v>0.13900000000000001</v>
      </c>
      <c r="J83" s="45">
        <v>0.125</v>
      </c>
      <c r="K83" s="45">
        <v>0.123</v>
      </c>
      <c r="L83" s="45">
        <v>0.21</v>
      </c>
      <c r="M83" s="45">
        <v>0.19600000000000001</v>
      </c>
      <c r="N83" s="45">
        <v>0.127</v>
      </c>
      <c r="O83" s="45">
        <v>0.122</v>
      </c>
      <c r="P83" s="46">
        <v>450</v>
      </c>
    </row>
    <row r="84" spans="3:16" x14ac:dyDescent="0.25">
      <c r="C84" s="57"/>
      <c r="D84" s="47">
        <v>4.3999999999999997E-2</v>
      </c>
      <c r="E84" s="47">
        <v>4.2999999999999997E-2</v>
      </c>
      <c r="F84" s="47">
        <v>4.4999999999999998E-2</v>
      </c>
      <c r="G84" s="47">
        <v>4.5999999999999999E-2</v>
      </c>
      <c r="H84" s="47">
        <v>4.2999999999999997E-2</v>
      </c>
      <c r="I84" s="47">
        <v>4.2000000000000003E-2</v>
      </c>
      <c r="J84" s="47">
        <v>4.3999999999999997E-2</v>
      </c>
      <c r="K84" s="47">
        <v>4.2999999999999997E-2</v>
      </c>
      <c r="L84" s="47">
        <v>4.3999999999999997E-2</v>
      </c>
      <c r="M84" s="47">
        <v>4.2999999999999997E-2</v>
      </c>
      <c r="N84" s="47">
        <v>4.2999999999999997E-2</v>
      </c>
      <c r="O84" s="47">
        <v>4.1000000000000002E-2</v>
      </c>
      <c r="P84" s="46">
        <v>540</v>
      </c>
    </row>
    <row r="85" spans="3:16" x14ac:dyDescent="0.25">
      <c r="C85" s="58"/>
      <c r="D85" s="33">
        <v>4.2000000000000003E-2</v>
      </c>
      <c r="E85" s="33">
        <v>4.1000000000000002E-2</v>
      </c>
      <c r="F85" s="33">
        <v>4.2000000000000003E-2</v>
      </c>
      <c r="G85" s="33">
        <v>4.2000000000000003E-2</v>
      </c>
      <c r="H85" s="33">
        <v>4.2000000000000003E-2</v>
      </c>
      <c r="I85" s="33">
        <v>4.1000000000000002E-2</v>
      </c>
      <c r="J85" s="33">
        <v>4.2999999999999997E-2</v>
      </c>
      <c r="K85" s="33">
        <v>4.2000000000000003E-2</v>
      </c>
      <c r="L85" s="33">
        <v>4.2000000000000003E-2</v>
      </c>
      <c r="M85" s="33">
        <v>4.1000000000000002E-2</v>
      </c>
      <c r="N85" s="33">
        <v>4.2000000000000003E-2</v>
      </c>
      <c r="O85" s="33">
        <v>4.1000000000000002E-2</v>
      </c>
      <c r="P85" s="48">
        <v>570</v>
      </c>
    </row>
    <row r="86" spans="3:16" x14ac:dyDescent="0.25">
      <c r="C86" s="56" t="s">
        <v>145</v>
      </c>
      <c r="D86" s="45">
        <v>8.1000000000000003E-2</v>
      </c>
      <c r="E86" s="45">
        <v>7.8E-2</v>
      </c>
      <c r="F86" s="45">
        <v>0.36299999999999999</v>
      </c>
      <c r="G86" s="45">
        <v>0.371</v>
      </c>
      <c r="H86" s="45">
        <v>0.14799999999999999</v>
      </c>
      <c r="I86" s="45">
        <v>0.14000000000000001</v>
      </c>
      <c r="J86" s="45">
        <v>0.13400000000000001</v>
      </c>
      <c r="K86" s="45">
        <v>0.13</v>
      </c>
      <c r="L86" s="45">
        <v>0.214</v>
      </c>
      <c r="M86" s="45">
        <v>0.219</v>
      </c>
      <c r="N86" s="45">
        <v>0.125</v>
      </c>
      <c r="O86" s="45">
        <v>0.126</v>
      </c>
      <c r="P86" s="46">
        <v>450</v>
      </c>
    </row>
    <row r="87" spans="3:16" x14ac:dyDescent="0.25">
      <c r="C87" s="57"/>
      <c r="D87" s="47">
        <v>4.4999999999999998E-2</v>
      </c>
      <c r="E87" s="47">
        <v>4.4999999999999998E-2</v>
      </c>
      <c r="F87" s="47">
        <v>4.4999999999999998E-2</v>
      </c>
      <c r="G87" s="47">
        <v>4.4999999999999998E-2</v>
      </c>
      <c r="H87" s="47">
        <v>4.2999999999999997E-2</v>
      </c>
      <c r="I87" s="47">
        <v>4.2999999999999997E-2</v>
      </c>
      <c r="J87" s="47">
        <v>4.2000000000000003E-2</v>
      </c>
      <c r="K87" s="47">
        <v>4.2999999999999997E-2</v>
      </c>
      <c r="L87" s="47">
        <v>4.3999999999999997E-2</v>
      </c>
      <c r="M87" s="47">
        <v>4.2999999999999997E-2</v>
      </c>
      <c r="N87" s="47">
        <v>4.2000000000000003E-2</v>
      </c>
      <c r="O87" s="47">
        <v>4.2000000000000003E-2</v>
      </c>
      <c r="P87" s="46">
        <v>540</v>
      </c>
    </row>
    <row r="88" spans="3:16" x14ac:dyDescent="0.25">
      <c r="C88" s="58"/>
      <c r="D88" s="33">
        <v>4.2000000000000003E-2</v>
      </c>
      <c r="E88" s="33">
        <v>4.2000000000000003E-2</v>
      </c>
      <c r="F88" s="33">
        <v>4.2000000000000003E-2</v>
      </c>
      <c r="G88" s="33">
        <v>4.2000000000000003E-2</v>
      </c>
      <c r="H88" s="33">
        <v>4.2000000000000003E-2</v>
      </c>
      <c r="I88" s="33">
        <v>4.2000000000000003E-2</v>
      </c>
      <c r="J88" s="33">
        <v>4.1000000000000002E-2</v>
      </c>
      <c r="K88" s="33">
        <v>4.1000000000000002E-2</v>
      </c>
      <c r="L88" s="33">
        <v>4.2000000000000003E-2</v>
      </c>
      <c r="M88" s="33">
        <v>4.1000000000000002E-2</v>
      </c>
      <c r="N88" s="33">
        <v>4.1000000000000002E-2</v>
      </c>
      <c r="O88" s="33">
        <v>4.1000000000000002E-2</v>
      </c>
      <c r="P88" s="48">
        <v>570</v>
      </c>
    </row>
  </sheetData>
  <mergeCells count="30">
    <mergeCell ref="C86:C88"/>
    <mergeCell ref="C53:C55"/>
    <mergeCell ref="C56:C58"/>
    <mergeCell ref="D63:E63"/>
    <mergeCell ref="F63:O63"/>
    <mergeCell ref="C65:C67"/>
    <mergeCell ref="C68:C70"/>
    <mergeCell ref="C71:C73"/>
    <mergeCell ref="C74:C76"/>
    <mergeCell ref="C77:C79"/>
    <mergeCell ref="C80:C82"/>
    <mergeCell ref="C83:C85"/>
    <mergeCell ref="C50:C52"/>
    <mergeCell ref="C17:C19"/>
    <mergeCell ref="C20:C22"/>
    <mergeCell ref="C23:C25"/>
    <mergeCell ref="C26:C28"/>
    <mergeCell ref="C35:C37"/>
    <mergeCell ref="C38:C40"/>
    <mergeCell ref="C41:C43"/>
    <mergeCell ref="C44:C46"/>
    <mergeCell ref="C47:C49"/>
    <mergeCell ref="D33:E33"/>
    <mergeCell ref="F33:O33"/>
    <mergeCell ref="D3:E3"/>
    <mergeCell ref="F3:O3"/>
    <mergeCell ref="C5:C7"/>
    <mergeCell ref="C8:C10"/>
    <mergeCell ref="C11:C13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IL17F ELISA result</vt:lpstr>
      <vt:lpstr>OD450-OD540</vt:lpstr>
      <vt:lpstr>original OD 450-540-570 data</vt:lpstr>
    </vt:vector>
  </TitlesOfParts>
  <Company>The James Comprehensive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Lata, Pushpa</dc:creator>
  <cp:lastModifiedBy>Lata, Pushpa</cp:lastModifiedBy>
  <dcterms:created xsi:type="dcterms:W3CDTF">2022-09-01T15:54:54Z</dcterms:created>
  <dcterms:modified xsi:type="dcterms:W3CDTF">2022-09-01T16:00:15Z</dcterms:modified>
</cp:coreProperties>
</file>