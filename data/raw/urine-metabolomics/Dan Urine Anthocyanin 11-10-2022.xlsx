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osumc-my.sharepoint.com/personal/spak01_osumc_edu/Documents/BuckeyeBox Data/osu/projects/bewell/data/mass spec - urine sample/"/>
    </mc:Choice>
  </mc:AlternateContent>
  <xr:revisionPtr revIDLastSave="28" documentId="8_{A14FA5F0-3C59-4678-A6EB-0DFA660D0251}" xr6:coauthVersionLast="47" xr6:coauthVersionMax="47" xr10:uidLastSave="{8E93C949-B231-438D-BFAB-38ED039CA7C4}"/>
  <bookViews>
    <workbookView xWindow="38280" yWindow="-120" windowWidth="38640" windowHeight="21240" xr2:uid="{00000000-000D-0000-FFFF-FFFF00000000}"/>
  </bookViews>
  <sheets>
    <sheet name="Raw Data" sheetId="1" r:id="rId1"/>
    <sheet name="STD" sheetId="2" r:id="rId2"/>
    <sheet name="Calculation" sheetId="3" r:id="rId3"/>
    <sheet name="concentration ng m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55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38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20" i="3"/>
  <c r="A8" i="2"/>
  <c r="A9" i="2"/>
  <c r="A10" i="2"/>
  <c r="A11" i="2"/>
  <c r="A12" i="2"/>
  <c r="A13" i="2"/>
  <c r="A14" i="2"/>
  <c r="A15" i="2"/>
  <c r="A16" i="2"/>
  <c r="A17" i="2"/>
  <c r="C17" i="2"/>
  <c r="D17" i="2"/>
  <c r="E17" i="2"/>
  <c r="C16" i="2"/>
  <c r="D16" i="2"/>
  <c r="E16" i="2"/>
  <c r="C15" i="2"/>
  <c r="D15" i="2"/>
  <c r="E15" i="2"/>
  <c r="C14" i="2"/>
  <c r="D14" i="2"/>
  <c r="E14" i="2"/>
  <c r="C13" i="2"/>
  <c r="D13" i="2"/>
  <c r="E13" i="2"/>
  <c r="A4" i="2"/>
  <c r="A5" i="2"/>
  <c r="A6" i="2"/>
</calcChain>
</file>

<file path=xl/sharedStrings.xml><?xml version="1.0" encoding="utf-8"?>
<sst xmlns="http://schemas.openxmlformats.org/spreadsheetml/2006/main" count="2577" uniqueCount="141">
  <si>
    <t>Sample</t>
  </si>
  <si>
    <t>21-V1</t>
  </si>
  <si>
    <t>21-V2</t>
  </si>
  <si>
    <t>21-V3</t>
  </si>
  <si>
    <t>21-V4</t>
  </si>
  <si>
    <t>55-V1</t>
  </si>
  <si>
    <t>55-V2</t>
  </si>
  <si>
    <t>55-V3</t>
  </si>
  <si>
    <t>55-V4</t>
  </si>
  <si>
    <t>58-V1</t>
  </si>
  <si>
    <t>58-V2</t>
  </si>
  <si>
    <t>58-V3</t>
  </si>
  <si>
    <t>58-V4</t>
  </si>
  <si>
    <t>60-V1</t>
  </si>
  <si>
    <t>60-V2</t>
  </si>
  <si>
    <t>60-V3</t>
  </si>
  <si>
    <t>60-V4</t>
  </si>
  <si>
    <t>61-V1</t>
  </si>
  <si>
    <t>61-V2</t>
  </si>
  <si>
    <t>61-V3</t>
  </si>
  <si>
    <t>61-V4</t>
  </si>
  <si>
    <t>68-V1</t>
  </si>
  <si>
    <t>68-V2</t>
  </si>
  <si>
    <t>68-V3</t>
  </si>
  <si>
    <t>68-V4</t>
  </si>
  <si>
    <t>71-V1</t>
  </si>
  <si>
    <t>71-V2</t>
  </si>
  <si>
    <t>71-V3</t>
  </si>
  <si>
    <t>71-V4</t>
  </si>
  <si>
    <t>77-V1</t>
  </si>
  <si>
    <t>77-V2</t>
  </si>
  <si>
    <t>77-V3</t>
  </si>
  <si>
    <t>77-V4</t>
  </si>
  <si>
    <t>79-V1</t>
  </si>
  <si>
    <t>79-V2</t>
  </si>
  <si>
    <t>79-V3</t>
  </si>
  <si>
    <t>79-V4</t>
  </si>
  <si>
    <t>81-V1</t>
  </si>
  <si>
    <t>81-V2</t>
  </si>
  <si>
    <t>81-V3</t>
  </si>
  <si>
    <t>81-V4</t>
  </si>
  <si>
    <t>62-V1</t>
  </si>
  <si>
    <t>62-V2</t>
  </si>
  <si>
    <t>62-V3</t>
  </si>
  <si>
    <t>62-V4</t>
  </si>
  <si>
    <t>84-v1</t>
  </si>
  <si>
    <t>84-v2</t>
  </si>
  <si>
    <t>84-v3</t>
  </si>
  <si>
    <t>84-v4</t>
  </si>
  <si>
    <t>85-V1</t>
  </si>
  <si>
    <t>85-V2</t>
  </si>
  <si>
    <t>85-V3</t>
  </si>
  <si>
    <t>85-V4</t>
  </si>
  <si>
    <t>99-V1</t>
  </si>
  <si>
    <t>99-V2</t>
  </si>
  <si>
    <t>99-V3</t>
  </si>
  <si>
    <t>99-V4</t>
  </si>
  <si>
    <t>95-V1</t>
  </si>
  <si>
    <t>95-V2</t>
  </si>
  <si>
    <t>95-V3</t>
  </si>
  <si>
    <t>95-V4</t>
  </si>
  <si>
    <t>96-V1</t>
  </si>
  <si>
    <t>96-V2</t>
  </si>
  <si>
    <t>96-V3</t>
  </si>
  <si>
    <t>96-V4</t>
  </si>
  <si>
    <t>101-V1</t>
  </si>
  <si>
    <t>101-V2</t>
  </si>
  <si>
    <t>101-V3</t>
  </si>
  <si>
    <t>101-V4</t>
  </si>
  <si>
    <t>102-V1</t>
  </si>
  <si>
    <t>102-V2</t>
  </si>
  <si>
    <t>102-V3</t>
  </si>
  <si>
    <t>102-V4</t>
  </si>
  <si>
    <t>66-V1</t>
  </si>
  <si>
    <t>66-V2</t>
  </si>
  <si>
    <t>66-V3</t>
  </si>
  <si>
    <t>66-V4</t>
  </si>
  <si>
    <t>64-V1</t>
  </si>
  <si>
    <t>64-V2</t>
  </si>
  <si>
    <t>64-V3</t>
  </si>
  <si>
    <t>64-V4</t>
  </si>
  <si>
    <t>cy glc sulf</t>
  </si>
  <si>
    <t>cy gluA</t>
  </si>
  <si>
    <t>NA</t>
  </si>
  <si>
    <t>Na</t>
  </si>
  <si>
    <t>cy hex</t>
  </si>
  <si>
    <t>cy rut</t>
  </si>
  <si>
    <t>cy sam</t>
  </si>
  <si>
    <t>cy sulf</t>
  </si>
  <si>
    <t>cy xyrut</t>
  </si>
  <si>
    <t>ferulic acid</t>
  </si>
  <si>
    <t>pca</t>
  </si>
  <si>
    <t>peon gluA</t>
  </si>
  <si>
    <t>peon hex</t>
  </si>
  <si>
    <t>peon rut</t>
  </si>
  <si>
    <t>peon sam</t>
  </si>
  <si>
    <t>peon xyrut</t>
  </si>
  <si>
    <t>pga</t>
  </si>
  <si>
    <t>vanillic acid</t>
  </si>
  <si>
    <t>g/3.2 mL</t>
  </si>
  <si>
    <t>gram/mL</t>
  </si>
  <si>
    <t>mg/mL</t>
  </si>
  <si>
    <t>mg/uL</t>
  </si>
  <si>
    <t>20uL</t>
  </si>
  <si>
    <t>2 mL</t>
  </si>
  <si>
    <t>mg/1mL</t>
  </si>
  <si>
    <t>mg/1.5 mL</t>
  </si>
  <si>
    <t>mL</t>
  </si>
  <si>
    <t>ng/mL</t>
  </si>
  <si>
    <t>ng/uL</t>
  </si>
  <si>
    <t>nanogram injected</t>
  </si>
  <si>
    <t>Area</t>
  </si>
  <si>
    <t>injected</t>
  </si>
  <si>
    <t>ng recoved</t>
  </si>
  <si>
    <t>cyanidin 3 glucoside</t>
  </si>
  <si>
    <t>MW</t>
  </si>
  <si>
    <t>3uL injected</t>
  </si>
  <si>
    <t>ng</t>
  </si>
  <si>
    <t>STD-01</t>
  </si>
  <si>
    <t>STD-03</t>
  </si>
  <si>
    <t>STD-02</t>
  </si>
  <si>
    <t>STD-04</t>
  </si>
  <si>
    <t>STD-05</t>
  </si>
  <si>
    <t xml:space="preserve"> Cyanidin-3-gluside sulfate</t>
  </si>
  <si>
    <t>cyanidin glucuronide</t>
  </si>
  <si>
    <t> cyanidin 3-hexose </t>
  </si>
  <si>
    <t>cyanidin-3-rutinoside</t>
  </si>
  <si>
    <t>cyanidin-3-sambubioside</t>
  </si>
  <si>
    <t>cyanidin sulfate</t>
  </si>
  <si>
    <t>cyanidin-3-xylrutinoside</t>
  </si>
  <si>
    <t>Protocatechuic acid</t>
  </si>
  <si>
    <t>peonidin glucuronide </t>
  </si>
  <si>
    <t>peonidin-3- hexose</t>
  </si>
  <si>
    <t>peonidin -3-rutinoside</t>
  </si>
  <si>
    <t xml:space="preserve">peonidin-3- sambubioside </t>
  </si>
  <si>
    <t>peonidin 3-xylrutinoside</t>
  </si>
  <si>
    <t>phloroglucinaldehyde</t>
  </si>
  <si>
    <t>filtered through 2 um filter</t>
  </si>
  <si>
    <t>direct injection</t>
  </si>
  <si>
    <t>mass spec MRM</t>
  </si>
  <si>
    <t xml:space="preserve">UV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</si>
</sst>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cyanidin 3 glucoside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STD!$G$13:$G$17</c:f>
              <c:numCache>
                <c:formatCode>General</c:formatCode>
                <c:ptCount val="5"/>
                <c:pt idx="0">
                  <c:v>1.5625E-2</c:v>
                </c:pt>
                <c:pt idx="1">
                  <c:v>3.125E-2</c:v>
                </c:pt>
                <c:pt idx="2">
                  <c:v>6.25E-2</c:v>
                </c:pt>
                <c:pt idx="3">
                  <c:v>0.125</c:v>
                </c:pt>
                <c:pt idx="4">
                  <c:v>0.25</c:v>
                </c:pt>
              </c:numCache>
            </c:numRef>
          </c:xVal>
          <c:yVal>
            <c:numRef>
              <c:f>STD!$H$13:$H$17</c:f>
              <c:numCache>
                <c:formatCode>General</c:formatCode>
                <c:ptCount val="5"/>
                <c:pt idx="0">
                  <c:v>14390</c:v>
                </c:pt>
                <c:pt idx="1">
                  <c:v>40071</c:v>
                </c:pt>
                <c:pt idx="2">
                  <c:v>80000</c:v>
                </c:pt>
                <c:pt idx="3">
                  <c:v>159028</c:v>
                </c:pt>
                <c:pt idx="4">
                  <c:v>319025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F-412C-AD34-30CC70F92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291920"/>
        <c:axId val="752296840"/>
      </c:scatterChart>
      <c:valAx>
        <c:axId val="75229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96840"/>
        <c:crosses val="autoZero"/>
        <c:crossBetween val="midCat"/>
      </c:valAx>
      <c:valAx>
        <c:axId val="752296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9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0</xdr:row>
      <xdr:rowOff>147636</xdr:rowOff>
    </xdr:from>
    <xdr:to>
      <xdr:col>18</xdr:col>
      <xdr:colOff>361949</xdr:colOff>
      <xdr:row>28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BF971-8162-3AF7-8028-2ED5EE3A1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4"/>
  <sheetViews>
    <sheetView tabSelected="1" workbookViewId="0">
      <selection activeCell="B23" sqref="B23"/>
    </sheetView>
  </sheetViews>
  <sheetFormatPr defaultRowHeight="15" x14ac:dyDescent="0.25"/>
  <cols>
    <col min="1" max="1" width="26.42578125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15.75" x14ac:dyDescent="0.25">
      <c r="A2" s="2" t="s">
        <v>81</v>
      </c>
      <c r="B2" s="3">
        <v>114304</v>
      </c>
      <c r="C2" s="3">
        <v>254122</v>
      </c>
      <c r="D2" s="3">
        <v>227649</v>
      </c>
      <c r="E2" s="3">
        <v>321699</v>
      </c>
      <c r="F2" s="3">
        <v>252754</v>
      </c>
      <c r="G2" s="3">
        <v>164767</v>
      </c>
      <c r="H2" s="3">
        <v>261836</v>
      </c>
      <c r="I2" s="3">
        <v>199677</v>
      </c>
      <c r="J2" s="3">
        <v>205134</v>
      </c>
      <c r="K2" s="3">
        <v>100203</v>
      </c>
      <c r="L2" s="3">
        <v>210325</v>
      </c>
      <c r="M2" s="3">
        <v>149488</v>
      </c>
      <c r="N2" s="3">
        <v>132598</v>
      </c>
      <c r="O2" s="3">
        <v>191262</v>
      </c>
      <c r="P2" s="3">
        <v>267347</v>
      </c>
      <c r="Q2" s="3">
        <v>590214</v>
      </c>
      <c r="R2" s="3">
        <v>622296</v>
      </c>
      <c r="S2" s="3">
        <v>910801</v>
      </c>
      <c r="T2" s="3">
        <v>613300</v>
      </c>
      <c r="U2" s="3">
        <v>543380</v>
      </c>
      <c r="V2" s="3">
        <v>193615</v>
      </c>
      <c r="W2" s="3">
        <v>56243</v>
      </c>
      <c r="X2" s="3">
        <v>55026</v>
      </c>
      <c r="Y2" s="3">
        <v>67747</v>
      </c>
      <c r="Z2" s="3">
        <v>89803</v>
      </c>
      <c r="AA2" s="3">
        <v>173950</v>
      </c>
      <c r="AB2" s="3">
        <v>108746</v>
      </c>
      <c r="AC2" s="3">
        <v>135906</v>
      </c>
      <c r="AD2" s="3">
        <v>149392</v>
      </c>
      <c r="AE2" s="3">
        <v>234270</v>
      </c>
      <c r="AF2" s="3">
        <v>168671</v>
      </c>
      <c r="AG2" s="3">
        <v>154419</v>
      </c>
      <c r="AH2" s="3">
        <v>139720</v>
      </c>
      <c r="AI2" s="3">
        <v>88652</v>
      </c>
      <c r="AJ2" s="3">
        <v>175258</v>
      </c>
      <c r="AK2" s="3">
        <v>227879</v>
      </c>
      <c r="AL2" s="3">
        <v>126164</v>
      </c>
      <c r="AM2" s="3">
        <v>302906</v>
      </c>
      <c r="AN2" s="3">
        <v>272179</v>
      </c>
      <c r="AO2" s="3">
        <v>281494</v>
      </c>
      <c r="AP2" s="3">
        <v>310126</v>
      </c>
      <c r="AQ2" s="3">
        <v>384771</v>
      </c>
      <c r="AR2" s="3">
        <v>364941</v>
      </c>
      <c r="AS2" s="3">
        <v>474735</v>
      </c>
      <c r="AT2" s="3">
        <v>68188</v>
      </c>
      <c r="AU2" s="3">
        <v>111739</v>
      </c>
      <c r="AV2" s="3">
        <v>137397</v>
      </c>
      <c r="AW2" s="3">
        <v>103387</v>
      </c>
      <c r="AX2" s="3">
        <v>129785</v>
      </c>
      <c r="AY2" s="3">
        <v>132279</v>
      </c>
      <c r="AZ2" s="3">
        <v>123923</v>
      </c>
      <c r="BA2" s="3">
        <v>184100</v>
      </c>
      <c r="BB2" s="3">
        <v>995357</v>
      </c>
      <c r="BC2" s="3">
        <v>578733</v>
      </c>
      <c r="BD2" s="3">
        <v>557730</v>
      </c>
      <c r="BE2" s="3">
        <v>70037</v>
      </c>
      <c r="BF2" s="3">
        <v>193967</v>
      </c>
      <c r="BG2" s="3">
        <v>391858</v>
      </c>
      <c r="BH2" s="3">
        <v>340667</v>
      </c>
      <c r="BI2" s="3">
        <v>339619</v>
      </c>
      <c r="BJ2" s="3">
        <v>89978</v>
      </c>
      <c r="BK2" s="3">
        <v>319062</v>
      </c>
      <c r="BL2" s="3">
        <v>211316</v>
      </c>
      <c r="BM2" s="3">
        <v>141807</v>
      </c>
      <c r="BN2" s="3">
        <v>1000547</v>
      </c>
      <c r="BO2" s="3">
        <v>67420</v>
      </c>
      <c r="BP2" s="3">
        <v>169783</v>
      </c>
      <c r="BQ2" s="3">
        <v>161900</v>
      </c>
      <c r="BR2" s="3">
        <v>479316</v>
      </c>
      <c r="BS2" s="3">
        <v>321070</v>
      </c>
      <c r="BT2" s="3">
        <v>391460</v>
      </c>
      <c r="BU2" s="3">
        <v>184634</v>
      </c>
      <c r="BV2" s="3">
        <v>444284</v>
      </c>
      <c r="BW2" s="3">
        <v>233720</v>
      </c>
      <c r="BX2" s="3">
        <v>288663</v>
      </c>
      <c r="BY2" s="3">
        <v>192636</v>
      </c>
      <c r="BZ2" s="3">
        <v>340428</v>
      </c>
      <c r="CA2" s="3">
        <v>217217</v>
      </c>
      <c r="CB2" s="3">
        <v>257513</v>
      </c>
      <c r="CC2" s="3">
        <v>179999</v>
      </c>
    </row>
    <row r="3" spans="1:81" ht="15.75" x14ac:dyDescent="0.25">
      <c r="A3" s="2" t="s">
        <v>82</v>
      </c>
      <c r="B3" s="3">
        <v>84118</v>
      </c>
      <c r="C3" s="3">
        <v>104957</v>
      </c>
      <c r="D3" s="3">
        <v>91266</v>
      </c>
      <c r="E3" s="3">
        <v>90441</v>
      </c>
      <c r="F3" s="3">
        <v>42624</v>
      </c>
      <c r="G3" s="3">
        <v>9695</v>
      </c>
      <c r="H3" s="3">
        <v>73223</v>
      </c>
      <c r="I3" s="3">
        <v>53636</v>
      </c>
      <c r="J3" s="3">
        <v>70413</v>
      </c>
      <c r="K3" s="3">
        <v>95320</v>
      </c>
      <c r="L3" s="3">
        <v>144351</v>
      </c>
      <c r="M3" s="3" t="s">
        <v>83</v>
      </c>
      <c r="N3" s="3" t="s">
        <v>83</v>
      </c>
      <c r="O3" s="3" t="s">
        <v>83</v>
      </c>
      <c r="P3" s="3" t="s">
        <v>83</v>
      </c>
      <c r="Q3" s="3" t="s">
        <v>83</v>
      </c>
      <c r="R3" s="3" t="s">
        <v>83</v>
      </c>
      <c r="S3" s="3" t="s">
        <v>83</v>
      </c>
      <c r="T3" s="3" t="s">
        <v>83</v>
      </c>
      <c r="U3" s="3">
        <v>105430</v>
      </c>
      <c r="V3" s="3" t="s">
        <v>83</v>
      </c>
      <c r="W3" s="3" t="s">
        <v>83</v>
      </c>
      <c r="X3" s="3" t="s">
        <v>83</v>
      </c>
      <c r="Y3" s="3">
        <v>75133</v>
      </c>
      <c r="Z3" s="3">
        <v>36771</v>
      </c>
      <c r="AA3" s="3">
        <v>58499</v>
      </c>
      <c r="AB3" s="3">
        <v>15587</v>
      </c>
      <c r="AC3" s="3">
        <v>19217</v>
      </c>
      <c r="AD3" s="3" t="s">
        <v>83</v>
      </c>
      <c r="AE3" s="3" t="s">
        <v>83</v>
      </c>
      <c r="AF3" s="3" t="s">
        <v>83</v>
      </c>
      <c r="AG3" s="3" t="s">
        <v>84</v>
      </c>
      <c r="AH3" s="3" t="s">
        <v>83</v>
      </c>
      <c r="AI3" s="3" t="s">
        <v>83</v>
      </c>
      <c r="AJ3" s="3" t="s">
        <v>83</v>
      </c>
      <c r="AK3" s="3" t="s">
        <v>83</v>
      </c>
      <c r="AL3" s="3" t="s">
        <v>83</v>
      </c>
      <c r="AM3" s="3" t="s">
        <v>83</v>
      </c>
      <c r="AN3" s="3" t="s">
        <v>83</v>
      </c>
      <c r="AO3" s="3" t="s">
        <v>83</v>
      </c>
      <c r="AP3" s="3" t="s">
        <v>83</v>
      </c>
      <c r="AQ3" s="3" t="s">
        <v>83</v>
      </c>
      <c r="AR3" s="3" t="s">
        <v>83</v>
      </c>
      <c r="AS3" s="3" t="s">
        <v>83</v>
      </c>
      <c r="AT3" s="3" t="s">
        <v>83</v>
      </c>
      <c r="AU3" s="3" t="s">
        <v>83</v>
      </c>
      <c r="AV3" s="3" t="s">
        <v>83</v>
      </c>
      <c r="AW3" s="3" t="s">
        <v>83</v>
      </c>
      <c r="AX3" s="3" t="s">
        <v>83</v>
      </c>
      <c r="AY3" s="3"/>
      <c r="AZ3" s="3">
        <v>70898</v>
      </c>
      <c r="BA3" s="3">
        <v>152970</v>
      </c>
      <c r="BB3" s="3" t="s">
        <v>83</v>
      </c>
      <c r="BC3" s="3" t="s">
        <v>83</v>
      </c>
      <c r="BD3" s="3" t="s">
        <v>83</v>
      </c>
      <c r="BE3" s="3" t="s">
        <v>83</v>
      </c>
      <c r="BF3" s="3" t="s">
        <v>83</v>
      </c>
      <c r="BG3" s="3"/>
      <c r="BH3" s="3" t="s">
        <v>83</v>
      </c>
      <c r="BI3" s="3" t="s">
        <v>83</v>
      </c>
      <c r="BJ3" s="3" t="s">
        <v>83</v>
      </c>
      <c r="BK3" s="3">
        <v>62799</v>
      </c>
      <c r="BL3" s="3" t="s">
        <v>83</v>
      </c>
      <c r="BM3" s="3" t="s">
        <v>83</v>
      </c>
      <c r="BN3" s="3">
        <v>32876</v>
      </c>
      <c r="BO3" s="3">
        <v>13080</v>
      </c>
      <c r="BP3" s="3">
        <v>36862</v>
      </c>
      <c r="BQ3" s="3">
        <v>14115</v>
      </c>
      <c r="BR3" s="3" t="s">
        <v>83</v>
      </c>
      <c r="BS3" s="3" t="s">
        <v>83</v>
      </c>
      <c r="BT3" s="3" t="s">
        <v>83</v>
      </c>
      <c r="BU3" s="3" t="s">
        <v>83</v>
      </c>
      <c r="BV3" s="3" t="s">
        <v>83</v>
      </c>
      <c r="BW3" s="3" t="s">
        <v>83</v>
      </c>
      <c r="BX3" s="3" t="s">
        <v>83</v>
      </c>
      <c r="BY3" s="3" t="s">
        <v>83</v>
      </c>
      <c r="BZ3" s="3" t="s">
        <v>83</v>
      </c>
      <c r="CA3" s="3" t="s">
        <v>83</v>
      </c>
      <c r="CB3" s="3" t="s">
        <v>83</v>
      </c>
      <c r="CC3" s="3" t="s">
        <v>83</v>
      </c>
    </row>
    <row r="4" spans="1:81" ht="15.75" x14ac:dyDescent="0.25">
      <c r="A4" s="2" t="s">
        <v>85</v>
      </c>
      <c r="B4" s="3" t="s">
        <v>83</v>
      </c>
      <c r="C4" s="3">
        <v>20672</v>
      </c>
      <c r="D4" s="3">
        <v>3067</v>
      </c>
      <c r="E4" s="3">
        <v>2247</v>
      </c>
      <c r="F4" s="3" t="s">
        <v>83</v>
      </c>
      <c r="G4" s="3" t="s">
        <v>83</v>
      </c>
      <c r="H4" s="3" t="s">
        <v>83</v>
      </c>
      <c r="I4" s="3">
        <v>21465</v>
      </c>
      <c r="J4" s="3" t="s">
        <v>83</v>
      </c>
      <c r="K4" s="3" t="s">
        <v>83</v>
      </c>
      <c r="L4" s="3" t="s">
        <v>83</v>
      </c>
      <c r="M4" s="3">
        <v>16955</v>
      </c>
      <c r="N4" s="3" t="s">
        <v>83</v>
      </c>
      <c r="O4" s="3" t="s">
        <v>83</v>
      </c>
      <c r="P4" s="3" t="s">
        <v>83</v>
      </c>
      <c r="Q4" s="3">
        <v>8477</v>
      </c>
      <c r="R4" s="3" t="s">
        <v>83</v>
      </c>
      <c r="S4" s="3">
        <v>14732</v>
      </c>
      <c r="T4" s="3" t="s">
        <v>83</v>
      </c>
      <c r="U4" s="3" t="s">
        <v>83</v>
      </c>
      <c r="V4" s="3" t="s">
        <v>83</v>
      </c>
      <c r="W4" s="3">
        <v>10454</v>
      </c>
      <c r="X4" s="3" t="s">
        <v>83</v>
      </c>
      <c r="Y4" s="3" t="s">
        <v>83</v>
      </c>
      <c r="Z4" s="3" t="s">
        <v>83</v>
      </c>
      <c r="AA4" s="3">
        <v>5884</v>
      </c>
      <c r="AB4" s="3" t="s">
        <v>83</v>
      </c>
      <c r="AC4" s="3" t="s">
        <v>83</v>
      </c>
      <c r="AD4" s="3" t="s">
        <v>83</v>
      </c>
      <c r="AE4" s="3">
        <v>10274</v>
      </c>
      <c r="AF4" s="3" t="s">
        <v>83</v>
      </c>
      <c r="AG4" s="3" t="s">
        <v>83</v>
      </c>
      <c r="AH4" s="3" t="s">
        <v>83</v>
      </c>
      <c r="AI4" s="3" t="s">
        <v>83</v>
      </c>
      <c r="AJ4" s="3" t="s">
        <v>83</v>
      </c>
      <c r="AK4" s="3">
        <v>11042</v>
      </c>
      <c r="AL4" s="3" t="s">
        <v>83</v>
      </c>
      <c r="AM4" s="3" t="s">
        <v>83</v>
      </c>
      <c r="AN4" s="3" t="s">
        <v>83</v>
      </c>
      <c r="AO4" s="3" t="s">
        <v>83</v>
      </c>
      <c r="AP4" s="3" t="s">
        <v>83</v>
      </c>
      <c r="AQ4" s="3">
        <v>10903</v>
      </c>
      <c r="AR4" s="3" t="s">
        <v>83</v>
      </c>
      <c r="AS4" s="3" t="s">
        <v>83</v>
      </c>
      <c r="AT4" s="3" t="s">
        <v>83</v>
      </c>
      <c r="AU4" s="3" t="s">
        <v>83</v>
      </c>
      <c r="AV4" s="3" t="s">
        <v>83</v>
      </c>
      <c r="AW4" s="3">
        <v>10599</v>
      </c>
      <c r="AX4" s="3" t="s">
        <v>83</v>
      </c>
      <c r="AY4" s="3">
        <v>16077</v>
      </c>
      <c r="AZ4" s="3">
        <v>10095</v>
      </c>
      <c r="BA4" s="3" t="s">
        <v>83</v>
      </c>
      <c r="BB4" s="3" t="s">
        <v>83</v>
      </c>
      <c r="BC4" s="3" t="s">
        <v>83</v>
      </c>
      <c r="BD4" s="3" t="s">
        <v>83</v>
      </c>
      <c r="BE4" s="3">
        <v>5158</v>
      </c>
      <c r="BF4" s="3" t="s">
        <v>83</v>
      </c>
      <c r="BG4" s="3">
        <v>8796</v>
      </c>
      <c r="BH4" s="3" t="s">
        <v>83</v>
      </c>
      <c r="BI4" s="3" t="s">
        <v>83</v>
      </c>
      <c r="BJ4" s="3" t="s">
        <v>83</v>
      </c>
      <c r="BK4" s="3">
        <v>34937</v>
      </c>
      <c r="BL4" s="3" t="s">
        <v>83</v>
      </c>
      <c r="BM4" s="3" t="s">
        <v>83</v>
      </c>
      <c r="BN4" s="3" t="s">
        <v>83</v>
      </c>
      <c r="BO4" s="3">
        <v>4736</v>
      </c>
      <c r="BP4" s="3" t="s">
        <v>83</v>
      </c>
      <c r="BQ4" s="3" t="s">
        <v>83</v>
      </c>
      <c r="BR4" s="3" t="s">
        <v>83</v>
      </c>
      <c r="BS4" s="3" t="s">
        <v>83</v>
      </c>
      <c r="BT4" s="3" t="s">
        <v>83</v>
      </c>
      <c r="BU4" s="3">
        <v>7274</v>
      </c>
      <c r="BV4" s="3" t="s">
        <v>83</v>
      </c>
      <c r="BW4" s="3">
        <v>17915</v>
      </c>
      <c r="BX4" s="3" t="s">
        <v>83</v>
      </c>
      <c r="BY4" s="3" t="s">
        <v>83</v>
      </c>
      <c r="BZ4" s="3" t="s">
        <v>83</v>
      </c>
      <c r="CA4" s="3">
        <v>9880</v>
      </c>
      <c r="CB4" s="3" t="s">
        <v>83</v>
      </c>
      <c r="CC4" s="3" t="s">
        <v>83</v>
      </c>
    </row>
    <row r="5" spans="1:81" ht="15.75" x14ac:dyDescent="0.25">
      <c r="A5" s="2" t="s">
        <v>86</v>
      </c>
      <c r="B5" s="3" t="s">
        <v>83</v>
      </c>
      <c r="C5" s="3">
        <v>160827</v>
      </c>
      <c r="D5" s="3" t="s">
        <v>83</v>
      </c>
      <c r="E5" s="3" t="s">
        <v>83</v>
      </c>
      <c r="F5" s="3" t="s">
        <v>83</v>
      </c>
      <c r="G5" s="3" t="s">
        <v>83</v>
      </c>
      <c r="H5" s="3" t="s">
        <v>83</v>
      </c>
      <c r="I5" s="3">
        <v>244759</v>
      </c>
      <c r="J5" s="3" t="s">
        <v>83</v>
      </c>
      <c r="K5" s="3" t="s">
        <v>83</v>
      </c>
      <c r="L5" s="3" t="s">
        <v>83</v>
      </c>
      <c r="M5" s="3">
        <v>131036</v>
      </c>
      <c r="N5" s="3" t="s">
        <v>83</v>
      </c>
      <c r="O5" s="3" t="s">
        <v>83</v>
      </c>
      <c r="P5" s="3" t="s">
        <v>83</v>
      </c>
      <c r="Q5" s="3">
        <v>73645</v>
      </c>
      <c r="R5" s="3" t="s">
        <v>83</v>
      </c>
      <c r="S5" s="3">
        <v>266929</v>
      </c>
      <c r="T5" s="3" t="s">
        <v>83</v>
      </c>
      <c r="U5" s="3" t="s">
        <v>83</v>
      </c>
      <c r="V5" s="3" t="s">
        <v>83</v>
      </c>
      <c r="W5" s="3">
        <v>41409</v>
      </c>
      <c r="X5" s="3" t="s">
        <v>83</v>
      </c>
      <c r="Y5" s="3" t="s">
        <v>83</v>
      </c>
      <c r="Z5" s="3" t="s">
        <v>83</v>
      </c>
      <c r="AA5" s="3">
        <v>46049</v>
      </c>
      <c r="AB5" s="3" t="s">
        <v>83</v>
      </c>
      <c r="AC5" s="3" t="s">
        <v>83</v>
      </c>
      <c r="AD5" s="3" t="s">
        <v>83</v>
      </c>
      <c r="AE5" s="3">
        <v>80016</v>
      </c>
      <c r="AF5" s="3" t="s">
        <v>83</v>
      </c>
      <c r="AG5" s="3" t="s">
        <v>83</v>
      </c>
      <c r="AH5" s="3" t="s">
        <v>83</v>
      </c>
      <c r="AI5" s="3" t="s">
        <v>83</v>
      </c>
      <c r="AJ5" s="3" t="s">
        <v>83</v>
      </c>
      <c r="AK5" s="3">
        <v>74981</v>
      </c>
      <c r="AL5" s="3" t="s">
        <v>83</v>
      </c>
      <c r="AM5" s="3" t="s">
        <v>83</v>
      </c>
      <c r="AN5" s="3" t="s">
        <v>83</v>
      </c>
      <c r="AO5" s="3" t="s">
        <v>83</v>
      </c>
      <c r="AP5" s="3" t="s">
        <v>83</v>
      </c>
      <c r="AQ5" s="3">
        <v>170310</v>
      </c>
      <c r="AR5" s="3" t="s">
        <v>83</v>
      </c>
      <c r="AS5" s="3" t="s">
        <v>83</v>
      </c>
      <c r="AT5" s="3" t="s">
        <v>83</v>
      </c>
      <c r="AU5" s="3" t="s">
        <v>83</v>
      </c>
      <c r="AV5" s="3" t="s">
        <v>83</v>
      </c>
      <c r="AW5" s="3">
        <v>166952</v>
      </c>
      <c r="AX5" s="3" t="s">
        <v>83</v>
      </c>
      <c r="AY5" s="3">
        <v>314529</v>
      </c>
      <c r="AZ5" s="3" t="s">
        <v>83</v>
      </c>
      <c r="BA5" s="3" t="s">
        <v>83</v>
      </c>
      <c r="BB5" s="3" t="s">
        <v>83</v>
      </c>
      <c r="BC5" s="3" t="s">
        <v>83</v>
      </c>
      <c r="BD5" s="3" t="s">
        <v>83</v>
      </c>
      <c r="BE5" s="3">
        <v>24887</v>
      </c>
      <c r="BF5" s="3" t="s">
        <v>83</v>
      </c>
      <c r="BG5" s="3">
        <v>90465</v>
      </c>
      <c r="BH5" s="3" t="s">
        <v>83</v>
      </c>
      <c r="BI5" s="3" t="s">
        <v>83</v>
      </c>
      <c r="BJ5" s="3" t="s">
        <v>83</v>
      </c>
      <c r="BK5" s="3">
        <v>133847</v>
      </c>
      <c r="BL5" s="3" t="s">
        <v>83</v>
      </c>
      <c r="BM5" s="3" t="s">
        <v>83</v>
      </c>
      <c r="BN5" s="3" t="s">
        <v>83</v>
      </c>
      <c r="BO5" s="3">
        <v>46801</v>
      </c>
      <c r="BP5" s="3" t="s">
        <v>83</v>
      </c>
      <c r="BQ5" s="3" t="s">
        <v>83</v>
      </c>
      <c r="BR5" s="3" t="s">
        <v>83</v>
      </c>
      <c r="BS5" s="3" t="s">
        <v>83</v>
      </c>
      <c r="BT5" s="3" t="s">
        <v>83</v>
      </c>
      <c r="BU5" s="3">
        <v>6481</v>
      </c>
      <c r="BV5" s="3" t="s">
        <v>83</v>
      </c>
      <c r="BW5" s="3">
        <v>128966</v>
      </c>
      <c r="BX5" s="3" t="s">
        <v>83</v>
      </c>
      <c r="BY5" s="3" t="s">
        <v>83</v>
      </c>
      <c r="BZ5" s="3" t="s">
        <v>83</v>
      </c>
      <c r="CA5" s="3">
        <v>45681</v>
      </c>
      <c r="CB5" s="3" t="s">
        <v>83</v>
      </c>
      <c r="CC5" s="3" t="s">
        <v>83</v>
      </c>
    </row>
    <row r="6" spans="1:81" ht="15.75" x14ac:dyDescent="0.25">
      <c r="A6" s="2" t="s">
        <v>87</v>
      </c>
      <c r="B6" s="3" t="s">
        <v>83</v>
      </c>
      <c r="C6" s="3">
        <v>9522</v>
      </c>
      <c r="D6" s="3" t="s">
        <v>83</v>
      </c>
      <c r="E6" s="3" t="s">
        <v>83</v>
      </c>
      <c r="F6" s="3" t="s">
        <v>83</v>
      </c>
      <c r="G6" s="3" t="s">
        <v>83</v>
      </c>
      <c r="H6" s="3" t="s">
        <v>83</v>
      </c>
      <c r="I6" s="3">
        <v>21950</v>
      </c>
      <c r="J6" s="3" t="s">
        <v>83</v>
      </c>
      <c r="K6" s="3" t="s">
        <v>83</v>
      </c>
      <c r="L6" s="3" t="s">
        <v>83</v>
      </c>
      <c r="M6" s="3">
        <v>13235</v>
      </c>
      <c r="N6" s="3" t="s">
        <v>83</v>
      </c>
      <c r="O6" s="3" t="s">
        <v>83</v>
      </c>
      <c r="P6" s="3" t="s">
        <v>83</v>
      </c>
      <c r="Q6" s="3">
        <v>6231</v>
      </c>
      <c r="R6" s="3" t="s">
        <v>83</v>
      </c>
      <c r="S6" s="3">
        <v>26712</v>
      </c>
      <c r="T6" s="3" t="s">
        <v>83</v>
      </c>
      <c r="U6" s="3" t="s">
        <v>83</v>
      </c>
      <c r="V6" s="3" t="s">
        <v>83</v>
      </c>
      <c r="W6" s="3">
        <v>4250</v>
      </c>
      <c r="X6" s="3" t="s">
        <v>83</v>
      </c>
      <c r="Y6" s="3" t="s">
        <v>83</v>
      </c>
      <c r="Z6" s="3" t="s">
        <v>83</v>
      </c>
      <c r="AA6" s="3">
        <v>3511</v>
      </c>
      <c r="AB6" s="3" t="s">
        <v>83</v>
      </c>
      <c r="AC6" s="3" t="s">
        <v>83</v>
      </c>
      <c r="AD6" s="3" t="s">
        <v>83</v>
      </c>
      <c r="AE6" s="3">
        <v>19375</v>
      </c>
      <c r="AF6" s="3" t="s">
        <v>83</v>
      </c>
      <c r="AG6" s="3" t="s">
        <v>83</v>
      </c>
      <c r="AH6" s="3" t="s">
        <v>83</v>
      </c>
      <c r="AI6" s="3" t="s">
        <v>83</v>
      </c>
      <c r="AJ6" s="3" t="s">
        <v>83</v>
      </c>
      <c r="AK6" s="3">
        <v>7629</v>
      </c>
      <c r="AL6" s="3">
        <v>2010</v>
      </c>
      <c r="AM6" s="3">
        <v>1477</v>
      </c>
      <c r="AN6" s="3">
        <v>4169</v>
      </c>
      <c r="AO6" s="3" t="s">
        <v>83</v>
      </c>
      <c r="AP6" s="3" t="s">
        <v>83</v>
      </c>
      <c r="AQ6" s="3">
        <v>17692</v>
      </c>
      <c r="AR6" s="3" t="s">
        <v>83</v>
      </c>
      <c r="AS6" s="3" t="s">
        <v>83</v>
      </c>
      <c r="AT6" s="3" t="s">
        <v>83</v>
      </c>
      <c r="AU6" s="3" t="s">
        <v>83</v>
      </c>
      <c r="AV6" s="3" t="s">
        <v>83</v>
      </c>
      <c r="AW6" s="3">
        <v>18458</v>
      </c>
      <c r="AX6" s="3" t="s">
        <v>83</v>
      </c>
      <c r="AY6" s="3">
        <v>15217</v>
      </c>
      <c r="AZ6" s="3" t="s">
        <v>83</v>
      </c>
      <c r="BA6" s="3" t="s">
        <v>83</v>
      </c>
      <c r="BB6" s="3" t="s">
        <v>83</v>
      </c>
      <c r="BC6" s="3" t="s">
        <v>83</v>
      </c>
      <c r="BD6" s="3" t="s">
        <v>83</v>
      </c>
      <c r="BE6" s="3">
        <v>2322</v>
      </c>
      <c r="BF6" s="3" t="s">
        <v>83</v>
      </c>
      <c r="BG6" s="3">
        <v>9713</v>
      </c>
      <c r="BH6" s="3" t="s">
        <v>83</v>
      </c>
      <c r="BI6" s="3" t="s">
        <v>83</v>
      </c>
      <c r="BJ6" s="3" t="s">
        <v>83</v>
      </c>
      <c r="BK6" s="3">
        <v>17333</v>
      </c>
      <c r="BL6" s="3" t="s">
        <v>83</v>
      </c>
      <c r="BM6" s="3" t="s">
        <v>83</v>
      </c>
      <c r="BN6" s="3" t="s">
        <v>83</v>
      </c>
      <c r="BO6" s="3">
        <v>3886</v>
      </c>
      <c r="BP6" s="3" t="s">
        <v>83</v>
      </c>
      <c r="BQ6" s="3" t="s">
        <v>83</v>
      </c>
      <c r="BR6" s="3" t="s">
        <v>83</v>
      </c>
      <c r="BS6" s="3" t="s">
        <v>83</v>
      </c>
      <c r="BT6" s="3" t="s">
        <v>83</v>
      </c>
      <c r="BU6" s="3">
        <v>8343</v>
      </c>
      <c r="BV6" s="3" t="s">
        <v>83</v>
      </c>
      <c r="BW6" s="3">
        <v>8809</v>
      </c>
      <c r="BX6" s="3" t="s">
        <v>83</v>
      </c>
      <c r="BY6" s="3" t="s">
        <v>83</v>
      </c>
      <c r="BZ6" s="3" t="s">
        <v>83</v>
      </c>
      <c r="CA6" s="3">
        <v>6417</v>
      </c>
      <c r="CB6" s="3" t="s">
        <v>83</v>
      </c>
      <c r="CC6" s="3" t="s">
        <v>83</v>
      </c>
    </row>
    <row r="7" spans="1:81" ht="15.75" x14ac:dyDescent="0.25">
      <c r="A7" s="2" t="s">
        <v>88</v>
      </c>
      <c r="B7" s="3" t="s">
        <v>83</v>
      </c>
      <c r="C7" s="3">
        <v>465</v>
      </c>
      <c r="D7" s="3">
        <v>739</v>
      </c>
      <c r="E7" s="3">
        <v>798</v>
      </c>
      <c r="F7" s="3">
        <v>162</v>
      </c>
      <c r="G7" s="3">
        <v>265</v>
      </c>
      <c r="H7" s="3">
        <v>487</v>
      </c>
      <c r="I7" s="3" t="s">
        <v>83</v>
      </c>
      <c r="J7" s="3">
        <v>1397</v>
      </c>
      <c r="K7" s="3">
        <v>749</v>
      </c>
      <c r="L7" s="3">
        <v>760</v>
      </c>
      <c r="M7" s="3" t="s">
        <v>83</v>
      </c>
      <c r="N7" s="3" t="s">
        <v>83</v>
      </c>
      <c r="O7" s="3" t="s">
        <v>83</v>
      </c>
      <c r="P7" s="3" t="s">
        <v>83</v>
      </c>
      <c r="Q7" s="3" t="s">
        <v>83</v>
      </c>
      <c r="R7" s="3" t="s">
        <v>83</v>
      </c>
      <c r="S7" s="3" t="s">
        <v>83</v>
      </c>
      <c r="T7" s="3" t="s">
        <v>83</v>
      </c>
      <c r="U7" s="3" t="s">
        <v>83</v>
      </c>
      <c r="V7" s="3">
        <v>2188</v>
      </c>
      <c r="W7" s="3">
        <v>1511</v>
      </c>
      <c r="X7" s="3">
        <v>1585</v>
      </c>
      <c r="Y7" s="3">
        <v>1962</v>
      </c>
      <c r="Z7" s="3">
        <v>763</v>
      </c>
      <c r="AA7" s="3" t="s">
        <v>83</v>
      </c>
      <c r="AB7" s="3">
        <v>924</v>
      </c>
      <c r="AC7" s="3">
        <v>845</v>
      </c>
      <c r="AD7" s="3" t="s">
        <v>83</v>
      </c>
      <c r="AE7" s="3" t="s">
        <v>83</v>
      </c>
      <c r="AF7" s="3" t="s">
        <v>83</v>
      </c>
      <c r="AG7" s="3" t="s">
        <v>83</v>
      </c>
      <c r="AH7" s="3" t="s">
        <v>83</v>
      </c>
      <c r="AI7" s="3" t="s">
        <v>83</v>
      </c>
      <c r="AJ7" s="3" t="s">
        <v>83</v>
      </c>
      <c r="AK7" s="3">
        <v>48058</v>
      </c>
      <c r="AL7" s="3" t="s">
        <v>83</v>
      </c>
      <c r="AM7" s="3" t="s">
        <v>83</v>
      </c>
      <c r="AN7" s="3" t="s">
        <v>83</v>
      </c>
      <c r="AO7" s="3" t="s">
        <v>83</v>
      </c>
      <c r="AP7" s="3" t="s">
        <v>83</v>
      </c>
      <c r="AQ7" s="3" t="s">
        <v>83</v>
      </c>
      <c r="AR7" s="3" t="s">
        <v>83</v>
      </c>
      <c r="AS7" s="3" t="s">
        <v>83</v>
      </c>
      <c r="AT7" s="3" t="s">
        <v>83</v>
      </c>
      <c r="AU7" s="3" t="s">
        <v>83</v>
      </c>
      <c r="AV7" s="3" t="s">
        <v>83</v>
      </c>
      <c r="AW7" s="3" t="s">
        <v>83</v>
      </c>
      <c r="AX7" s="3" t="s">
        <v>83</v>
      </c>
      <c r="AY7" s="3" t="s">
        <v>83</v>
      </c>
      <c r="AZ7" s="3" t="s">
        <v>83</v>
      </c>
      <c r="BA7" s="3" t="s">
        <v>83</v>
      </c>
      <c r="BB7" s="3" t="s">
        <v>83</v>
      </c>
      <c r="BC7" s="3" t="s">
        <v>83</v>
      </c>
      <c r="BD7" s="3" t="s">
        <v>83</v>
      </c>
      <c r="BE7" s="3" t="s">
        <v>83</v>
      </c>
      <c r="BF7" s="3" t="s">
        <v>83</v>
      </c>
      <c r="BG7" s="3" t="s">
        <v>83</v>
      </c>
      <c r="BH7" s="3" t="s">
        <v>83</v>
      </c>
      <c r="BI7" s="3" t="s">
        <v>83</v>
      </c>
      <c r="BJ7" s="3" t="s">
        <v>83</v>
      </c>
      <c r="BK7" s="3"/>
      <c r="BL7" s="3" t="s">
        <v>83</v>
      </c>
      <c r="BM7" s="3" t="s">
        <v>83</v>
      </c>
      <c r="BN7" s="3" t="s">
        <v>83</v>
      </c>
      <c r="BO7" s="3"/>
      <c r="BP7" s="3" t="s">
        <v>83</v>
      </c>
      <c r="BQ7" s="3" t="s">
        <v>83</v>
      </c>
      <c r="BR7" s="3" t="s">
        <v>83</v>
      </c>
      <c r="BS7" s="3" t="s">
        <v>83</v>
      </c>
      <c r="BT7" s="3" t="s">
        <v>83</v>
      </c>
      <c r="BU7" s="3"/>
      <c r="BV7" s="3" t="s">
        <v>83</v>
      </c>
      <c r="BW7" s="3"/>
      <c r="BX7" s="3" t="s">
        <v>83</v>
      </c>
      <c r="BY7" s="3" t="s">
        <v>83</v>
      </c>
      <c r="BZ7" s="3">
        <v>784</v>
      </c>
      <c r="CA7" s="3">
        <v>1137</v>
      </c>
      <c r="CB7" s="3" t="s">
        <v>83</v>
      </c>
      <c r="CC7" s="3">
        <v>340</v>
      </c>
    </row>
    <row r="8" spans="1:81" ht="15.75" x14ac:dyDescent="0.25">
      <c r="A8" s="2" t="s">
        <v>89</v>
      </c>
      <c r="B8" s="3" t="s">
        <v>83</v>
      </c>
      <c r="C8" s="3">
        <v>8299</v>
      </c>
      <c r="D8" s="3" t="s">
        <v>83</v>
      </c>
      <c r="E8" s="3" t="s">
        <v>83</v>
      </c>
      <c r="F8" s="3" t="s">
        <v>83</v>
      </c>
      <c r="G8" s="3" t="s">
        <v>83</v>
      </c>
      <c r="H8" s="3" t="s">
        <v>83</v>
      </c>
      <c r="I8" s="3">
        <v>149406</v>
      </c>
      <c r="J8" s="3" t="s">
        <v>83</v>
      </c>
      <c r="K8" s="3" t="s">
        <v>83</v>
      </c>
      <c r="L8" s="3" t="s">
        <v>83</v>
      </c>
      <c r="M8" s="3">
        <v>82944</v>
      </c>
      <c r="N8" s="3" t="s">
        <v>83</v>
      </c>
      <c r="O8" s="3" t="s">
        <v>83</v>
      </c>
      <c r="P8" s="3" t="s">
        <v>83</v>
      </c>
      <c r="Q8" s="3">
        <v>44380</v>
      </c>
      <c r="R8" s="3" t="s">
        <v>83</v>
      </c>
      <c r="S8" s="3">
        <v>141105</v>
      </c>
      <c r="T8" s="3" t="s">
        <v>83</v>
      </c>
      <c r="U8" s="3" t="s">
        <v>83</v>
      </c>
      <c r="V8" s="3" t="s">
        <v>83</v>
      </c>
      <c r="W8" s="3">
        <v>27688</v>
      </c>
      <c r="X8" s="3" t="s">
        <v>83</v>
      </c>
      <c r="Y8" s="3" t="s">
        <v>83</v>
      </c>
      <c r="Z8" s="3" t="s">
        <v>83</v>
      </c>
      <c r="AA8" s="3">
        <v>27304</v>
      </c>
      <c r="AB8" s="3" t="s">
        <v>83</v>
      </c>
      <c r="AC8" s="3" t="s">
        <v>83</v>
      </c>
      <c r="AD8" s="3"/>
      <c r="AE8" s="3">
        <v>79411</v>
      </c>
      <c r="AF8" s="3"/>
      <c r="AG8" s="3"/>
      <c r="AH8" s="3">
        <v>2423</v>
      </c>
      <c r="AI8" s="3">
        <v>3830</v>
      </c>
      <c r="AJ8" s="3">
        <v>2123</v>
      </c>
      <c r="AK8" s="3" t="s">
        <v>83</v>
      </c>
      <c r="AL8" s="3" t="s">
        <v>83</v>
      </c>
      <c r="AM8" s="3" t="s">
        <v>83</v>
      </c>
      <c r="AN8" s="3" t="s">
        <v>83</v>
      </c>
      <c r="AO8" s="3">
        <v>1337</v>
      </c>
      <c r="AP8" s="3" t="s">
        <v>83</v>
      </c>
      <c r="AQ8" s="3">
        <v>100468</v>
      </c>
      <c r="AR8" s="3" t="s">
        <v>83</v>
      </c>
      <c r="AS8" s="3" t="s">
        <v>83</v>
      </c>
      <c r="AT8" s="3" t="s">
        <v>83</v>
      </c>
      <c r="AU8" s="3" t="s">
        <v>83</v>
      </c>
      <c r="AV8" s="3" t="s">
        <v>83</v>
      </c>
      <c r="AW8" s="3">
        <v>80611</v>
      </c>
      <c r="AX8" s="3" t="s">
        <v>83</v>
      </c>
      <c r="AY8" s="3">
        <v>149510</v>
      </c>
      <c r="AZ8" s="3" t="s">
        <v>83</v>
      </c>
      <c r="BA8" s="3" t="s">
        <v>83</v>
      </c>
      <c r="BB8" s="3" t="s">
        <v>83</v>
      </c>
      <c r="BC8" s="3" t="s">
        <v>83</v>
      </c>
      <c r="BD8" s="3" t="s">
        <v>83</v>
      </c>
      <c r="BE8" s="3">
        <v>14965</v>
      </c>
      <c r="BF8" s="3" t="s">
        <v>83</v>
      </c>
      <c r="BG8" s="3">
        <v>52138</v>
      </c>
      <c r="BH8" s="3" t="s">
        <v>83</v>
      </c>
      <c r="BI8" s="3" t="s">
        <v>83</v>
      </c>
      <c r="BJ8" s="3" t="s">
        <v>83</v>
      </c>
      <c r="BK8" s="3">
        <v>95820</v>
      </c>
      <c r="BL8" s="3" t="s">
        <v>83</v>
      </c>
      <c r="BM8" s="3" t="s">
        <v>83</v>
      </c>
      <c r="BN8" s="3" t="s">
        <v>83</v>
      </c>
      <c r="BO8" s="3">
        <v>27385</v>
      </c>
      <c r="BP8" s="3" t="s">
        <v>83</v>
      </c>
      <c r="BQ8" s="3" t="s">
        <v>83</v>
      </c>
      <c r="BR8" s="3" t="s">
        <v>83</v>
      </c>
      <c r="BS8" s="3" t="s">
        <v>83</v>
      </c>
      <c r="BT8" s="3" t="s">
        <v>83</v>
      </c>
      <c r="BU8" s="3">
        <v>41723</v>
      </c>
      <c r="BV8" s="3" t="s">
        <v>83</v>
      </c>
      <c r="BW8" s="3">
        <v>65514</v>
      </c>
      <c r="BX8" s="3" t="s">
        <v>83</v>
      </c>
      <c r="BY8" s="3" t="s">
        <v>83</v>
      </c>
      <c r="BZ8" s="3" t="s">
        <v>83</v>
      </c>
      <c r="CA8" s="3">
        <v>39245</v>
      </c>
      <c r="CB8" s="3" t="s">
        <v>83</v>
      </c>
      <c r="CC8" s="3" t="s">
        <v>83</v>
      </c>
    </row>
    <row r="9" spans="1:81" ht="15.75" x14ac:dyDescent="0.25">
      <c r="A9" s="2" t="s">
        <v>90</v>
      </c>
      <c r="B9" s="3">
        <v>1726</v>
      </c>
      <c r="C9" s="3">
        <v>2003</v>
      </c>
      <c r="D9" s="3">
        <v>3204</v>
      </c>
      <c r="E9" s="3">
        <v>2368</v>
      </c>
      <c r="F9" s="3">
        <v>7478</v>
      </c>
      <c r="G9" s="3">
        <v>7630</v>
      </c>
      <c r="H9" s="3">
        <v>5484</v>
      </c>
      <c r="I9" s="3">
        <v>5923</v>
      </c>
      <c r="J9" s="3">
        <v>2784</v>
      </c>
      <c r="K9" s="3">
        <v>8400</v>
      </c>
      <c r="L9" s="3">
        <v>8483</v>
      </c>
      <c r="M9" s="3">
        <v>4298</v>
      </c>
      <c r="N9" s="3">
        <v>4016</v>
      </c>
      <c r="O9" s="3">
        <v>4094</v>
      </c>
      <c r="P9" s="3">
        <v>7893</v>
      </c>
      <c r="Q9" s="3">
        <v>11561</v>
      </c>
      <c r="R9" s="3">
        <v>2313</v>
      </c>
      <c r="S9" s="3">
        <v>8495</v>
      </c>
      <c r="T9" s="3">
        <v>1228</v>
      </c>
      <c r="U9" s="3">
        <v>1504</v>
      </c>
      <c r="V9" s="3">
        <v>842</v>
      </c>
      <c r="W9" s="3">
        <v>1572</v>
      </c>
      <c r="X9" s="3">
        <v>1699</v>
      </c>
      <c r="Y9" s="3">
        <v>820</v>
      </c>
      <c r="Z9" s="3">
        <v>1316</v>
      </c>
      <c r="AA9" s="3">
        <v>555</v>
      </c>
      <c r="AB9" s="3">
        <v>2218</v>
      </c>
      <c r="AC9" s="3">
        <v>5378</v>
      </c>
      <c r="AD9" s="3">
        <v>6704</v>
      </c>
      <c r="AE9" s="3">
        <v>10668</v>
      </c>
      <c r="AF9" s="3">
        <v>5297</v>
      </c>
      <c r="AG9" s="3">
        <v>5721</v>
      </c>
      <c r="AH9" s="3">
        <v>8578</v>
      </c>
      <c r="AI9" s="3">
        <v>4380</v>
      </c>
      <c r="AJ9" s="3">
        <v>7512</v>
      </c>
      <c r="AK9" s="3">
        <v>2075</v>
      </c>
      <c r="AL9" s="3">
        <v>6180</v>
      </c>
      <c r="AM9" s="3">
        <v>3506</v>
      </c>
      <c r="AN9" s="3">
        <v>10128</v>
      </c>
      <c r="AO9" s="3">
        <v>2605</v>
      </c>
      <c r="AP9" s="3">
        <v>4317</v>
      </c>
      <c r="AQ9" s="3">
        <v>12706</v>
      </c>
      <c r="AR9" s="3">
        <v>9052</v>
      </c>
      <c r="AS9" s="3">
        <v>4784</v>
      </c>
      <c r="AT9" s="3">
        <v>7642</v>
      </c>
      <c r="AU9" s="3">
        <v>2441</v>
      </c>
      <c r="AV9" s="3">
        <v>2318</v>
      </c>
      <c r="AW9" s="3">
        <v>1516</v>
      </c>
      <c r="AX9" s="3">
        <v>6532</v>
      </c>
      <c r="AY9" s="3">
        <v>1303</v>
      </c>
      <c r="AZ9" s="3">
        <v>7226</v>
      </c>
      <c r="BA9" s="3">
        <v>8990</v>
      </c>
      <c r="BB9" s="3">
        <v>11611</v>
      </c>
      <c r="BC9" s="3">
        <v>4129</v>
      </c>
      <c r="BD9" s="3">
        <v>9260</v>
      </c>
      <c r="BE9" s="3">
        <v>7609</v>
      </c>
      <c r="BF9" s="3">
        <v>5645</v>
      </c>
      <c r="BG9" s="3">
        <v>7710</v>
      </c>
      <c r="BH9" s="3">
        <v>6358</v>
      </c>
      <c r="BI9" s="3">
        <v>6790</v>
      </c>
      <c r="BJ9" s="3">
        <v>9383</v>
      </c>
      <c r="BK9" s="3">
        <v>6546</v>
      </c>
      <c r="BL9" s="3">
        <v>7811</v>
      </c>
      <c r="BM9" s="3">
        <v>4761</v>
      </c>
      <c r="BN9" s="3">
        <v>3669</v>
      </c>
      <c r="BO9" s="3">
        <v>2083</v>
      </c>
      <c r="BP9" s="3">
        <v>4763</v>
      </c>
      <c r="BQ9" s="3">
        <v>3620</v>
      </c>
      <c r="BR9" s="3" t="s">
        <v>83</v>
      </c>
      <c r="BS9" s="3" t="s">
        <v>83</v>
      </c>
      <c r="BT9" s="3" t="s">
        <v>83</v>
      </c>
      <c r="BU9" s="3" t="s">
        <v>83</v>
      </c>
      <c r="BV9" s="3">
        <v>3795</v>
      </c>
      <c r="BW9" s="3">
        <v>3530</v>
      </c>
      <c r="BX9" s="3">
        <v>4194</v>
      </c>
      <c r="BY9" s="3">
        <v>4402</v>
      </c>
      <c r="BZ9" s="3">
        <v>5983</v>
      </c>
      <c r="CA9" s="3">
        <v>3405</v>
      </c>
      <c r="CB9" s="3">
        <v>11019</v>
      </c>
      <c r="CC9" s="3">
        <v>9209</v>
      </c>
    </row>
    <row r="10" spans="1:81" ht="15.75" x14ac:dyDescent="0.25">
      <c r="A10" s="2" t="s">
        <v>91</v>
      </c>
      <c r="B10" s="3">
        <v>5339</v>
      </c>
      <c r="C10" s="3">
        <v>5327</v>
      </c>
      <c r="D10" s="3">
        <v>3936</v>
      </c>
      <c r="E10" s="3">
        <v>3735</v>
      </c>
      <c r="F10" s="3">
        <v>49594</v>
      </c>
      <c r="G10" s="3">
        <v>13007</v>
      </c>
      <c r="H10" s="3">
        <v>25603</v>
      </c>
      <c r="I10" s="3">
        <v>84869</v>
      </c>
      <c r="J10" s="3">
        <v>5400</v>
      </c>
      <c r="K10" s="3">
        <v>9817</v>
      </c>
      <c r="L10" s="3">
        <v>8615</v>
      </c>
      <c r="M10" s="3">
        <v>5850</v>
      </c>
      <c r="N10" s="3">
        <v>2444</v>
      </c>
      <c r="O10" s="3">
        <v>2884</v>
      </c>
      <c r="P10" s="3">
        <v>2931</v>
      </c>
      <c r="Q10" s="3">
        <v>18484</v>
      </c>
      <c r="R10" s="3">
        <v>761</v>
      </c>
      <c r="S10" s="3">
        <v>4242</v>
      </c>
      <c r="T10" s="3">
        <v>979</v>
      </c>
      <c r="U10" s="3">
        <v>1297</v>
      </c>
      <c r="V10" s="3">
        <v>2234</v>
      </c>
      <c r="W10" s="3">
        <v>2691</v>
      </c>
      <c r="X10" s="3">
        <v>1459</v>
      </c>
      <c r="Y10" s="3">
        <v>1789</v>
      </c>
      <c r="Z10" s="3" t="s">
        <v>83</v>
      </c>
      <c r="AA10" s="3">
        <v>170</v>
      </c>
      <c r="AB10" s="3">
        <v>791</v>
      </c>
      <c r="AC10" s="3">
        <v>953</v>
      </c>
      <c r="AD10" s="3">
        <v>23203</v>
      </c>
      <c r="AE10" s="3">
        <v>7508</v>
      </c>
      <c r="AF10" s="3">
        <v>8642</v>
      </c>
      <c r="AG10" s="3">
        <v>25973</v>
      </c>
      <c r="AH10" s="3" t="s">
        <v>83</v>
      </c>
      <c r="AI10" s="3" t="s">
        <v>83</v>
      </c>
      <c r="AJ10" s="3" t="s">
        <v>83</v>
      </c>
      <c r="AK10" s="3">
        <v>3252</v>
      </c>
      <c r="AL10" s="3">
        <v>2202</v>
      </c>
      <c r="AM10" s="3">
        <v>4088</v>
      </c>
      <c r="AN10" s="3">
        <v>11081</v>
      </c>
      <c r="AO10" s="3">
        <v>3607</v>
      </c>
      <c r="AP10" s="3">
        <v>2577</v>
      </c>
      <c r="AQ10" s="3">
        <v>2665</v>
      </c>
      <c r="AR10" s="3">
        <v>2281</v>
      </c>
      <c r="AS10" s="3">
        <v>2551</v>
      </c>
      <c r="AT10" s="3">
        <v>2276</v>
      </c>
      <c r="AU10" s="3">
        <v>4544</v>
      </c>
      <c r="AV10" s="3">
        <v>4398</v>
      </c>
      <c r="AW10" s="3">
        <v>5134</v>
      </c>
      <c r="AX10" s="3">
        <v>2966</v>
      </c>
      <c r="AY10" s="3">
        <v>5496</v>
      </c>
      <c r="AZ10" s="3">
        <v>5426</v>
      </c>
      <c r="BA10" s="3" t="s">
        <v>83</v>
      </c>
      <c r="BB10" s="3">
        <v>2009</v>
      </c>
      <c r="BC10" s="3">
        <v>2061</v>
      </c>
      <c r="BD10" s="3">
        <v>3074</v>
      </c>
      <c r="BE10" s="3">
        <v>7220</v>
      </c>
      <c r="BF10" s="3" t="s">
        <v>83</v>
      </c>
      <c r="BG10" s="3">
        <v>2743</v>
      </c>
      <c r="BH10" s="3">
        <v>1268</v>
      </c>
      <c r="BI10" s="3">
        <v>2206</v>
      </c>
      <c r="BJ10" s="3">
        <v>3444</v>
      </c>
      <c r="BK10" s="3">
        <v>3438</v>
      </c>
      <c r="BL10" s="3" t="s">
        <v>83</v>
      </c>
      <c r="BM10" s="3">
        <v>3759</v>
      </c>
      <c r="BN10" s="3">
        <v>4786</v>
      </c>
      <c r="BO10" s="3">
        <v>5184</v>
      </c>
      <c r="BP10" s="3">
        <v>2542</v>
      </c>
      <c r="BQ10" s="3">
        <v>2434</v>
      </c>
      <c r="BR10" s="3">
        <v>137</v>
      </c>
      <c r="BS10" s="3">
        <v>2802</v>
      </c>
      <c r="BT10" s="3">
        <v>760</v>
      </c>
      <c r="BU10" s="3">
        <v>2813</v>
      </c>
      <c r="BV10" s="3">
        <v>4893</v>
      </c>
      <c r="BW10" s="3">
        <v>7331</v>
      </c>
      <c r="BX10" s="3">
        <v>6461</v>
      </c>
      <c r="BY10" s="3">
        <v>3850</v>
      </c>
      <c r="BZ10" s="3">
        <v>14499</v>
      </c>
      <c r="CA10" s="3">
        <v>12102</v>
      </c>
      <c r="CB10" s="3">
        <v>8095</v>
      </c>
      <c r="CC10" s="3">
        <v>6659</v>
      </c>
    </row>
    <row r="11" spans="1:81" ht="15.75" x14ac:dyDescent="0.25">
      <c r="A11" s="2" t="s">
        <v>92</v>
      </c>
      <c r="B11" s="3" t="s">
        <v>83</v>
      </c>
      <c r="C11" s="3">
        <v>14624</v>
      </c>
      <c r="D11" s="3" t="s">
        <v>83</v>
      </c>
      <c r="E11" s="3" t="s">
        <v>83</v>
      </c>
      <c r="F11" s="3" t="s">
        <v>83</v>
      </c>
      <c r="G11" s="3" t="s">
        <v>83</v>
      </c>
      <c r="H11" s="3" t="s">
        <v>83</v>
      </c>
      <c r="I11" s="3">
        <v>38666</v>
      </c>
      <c r="J11" s="3" t="s">
        <v>83</v>
      </c>
      <c r="K11" s="3" t="s">
        <v>83</v>
      </c>
      <c r="L11" s="3" t="s">
        <v>83</v>
      </c>
      <c r="M11" s="3">
        <v>12208</v>
      </c>
      <c r="N11" s="3" t="s">
        <v>83</v>
      </c>
      <c r="O11" s="3" t="s">
        <v>83</v>
      </c>
      <c r="P11" s="3" t="s">
        <v>83</v>
      </c>
      <c r="Q11" s="3">
        <v>22118</v>
      </c>
      <c r="R11" s="3" t="s">
        <v>83</v>
      </c>
      <c r="S11" s="3">
        <v>15159</v>
      </c>
      <c r="T11" s="3" t="s">
        <v>83</v>
      </c>
      <c r="U11" s="3" t="s">
        <v>83</v>
      </c>
      <c r="V11" s="3" t="s">
        <v>83</v>
      </c>
      <c r="W11" s="3">
        <v>22007</v>
      </c>
      <c r="X11" s="3" t="s">
        <v>83</v>
      </c>
      <c r="Y11" s="3" t="s">
        <v>83</v>
      </c>
      <c r="Z11" s="3" t="s">
        <v>83</v>
      </c>
      <c r="AA11" s="3">
        <v>14982</v>
      </c>
      <c r="AB11" s="3" t="s">
        <v>83</v>
      </c>
      <c r="AC11" s="3" t="s">
        <v>83</v>
      </c>
      <c r="AD11" s="3" t="s">
        <v>83</v>
      </c>
      <c r="AE11" s="3">
        <v>49623</v>
      </c>
      <c r="AF11" s="3" t="s">
        <v>83</v>
      </c>
      <c r="AG11" s="3" t="s">
        <v>83</v>
      </c>
      <c r="AH11" s="3" t="s">
        <v>83</v>
      </c>
      <c r="AI11" s="3" t="s">
        <v>83</v>
      </c>
      <c r="AJ11" s="3" t="s">
        <v>83</v>
      </c>
      <c r="AK11" s="3">
        <v>25531</v>
      </c>
      <c r="AL11" s="3" t="s">
        <v>83</v>
      </c>
      <c r="AM11" s="3" t="s">
        <v>83</v>
      </c>
      <c r="AN11" s="3" t="s">
        <v>83</v>
      </c>
      <c r="AO11" s="3">
        <v>31706</v>
      </c>
      <c r="AP11" s="3" t="s">
        <v>83</v>
      </c>
      <c r="AQ11" s="3">
        <v>10114</v>
      </c>
      <c r="AR11" s="3" t="s">
        <v>83</v>
      </c>
      <c r="AS11" s="3" t="s">
        <v>83</v>
      </c>
      <c r="AT11" s="3"/>
      <c r="AU11" s="3">
        <v>12669</v>
      </c>
      <c r="AV11" s="3"/>
      <c r="AW11" s="3">
        <v>59956</v>
      </c>
      <c r="AX11" s="3" t="s">
        <v>83</v>
      </c>
      <c r="AY11" s="3">
        <v>26865</v>
      </c>
      <c r="AZ11" s="3" t="s">
        <v>83</v>
      </c>
      <c r="BA11" s="3" t="s">
        <v>83</v>
      </c>
      <c r="BB11" s="3" t="s">
        <v>83</v>
      </c>
      <c r="BC11" s="3" t="s">
        <v>83</v>
      </c>
      <c r="BD11" s="3" t="s">
        <v>83</v>
      </c>
      <c r="BE11" s="3">
        <v>8857</v>
      </c>
      <c r="BF11" s="3" t="s">
        <v>83</v>
      </c>
      <c r="BG11" s="3">
        <v>6238</v>
      </c>
      <c r="BH11" s="3" t="s">
        <v>83</v>
      </c>
      <c r="BI11" s="3" t="s">
        <v>83</v>
      </c>
      <c r="BJ11" s="3" t="s">
        <v>83</v>
      </c>
      <c r="BK11" s="3">
        <v>8873</v>
      </c>
      <c r="BL11" s="3" t="s">
        <v>83</v>
      </c>
      <c r="BM11" s="3" t="s">
        <v>83</v>
      </c>
      <c r="BN11" s="3" t="s">
        <v>83</v>
      </c>
      <c r="BO11" s="3">
        <v>30928</v>
      </c>
      <c r="BP11" s="3" t="s">
        <v>83</v>
      </c>
      <c r="BQ11" s="3" t="s">
        <v>83</v>
      </c>
      <c r="BR11" s="3" t="s">
        <v>83</v>
      </c>
      <c r="BS11" s="3" t="s">
        <v>83</v>
      </c>
      <c r="BT11" s="3" t="s">
        <v>83</v>
      </c>
      <c r="BU11" s="3">
        <v>3373</v>
      </c>
      <c r="BV11" s="3"/>
      <c r="BW11" s="3">
        <v>14180</v>
      </c>
      <c r="BX11" s="3" t="s">
        <v>83</v>
      </c>
      <c r="BY11" s="3" t="s">
        <v>83</v>
      </c>
      <c r="BZ11" s="3" t="s">
        <v>83</v>
      </c>
      <c r="CA11" s="3">
        <v>24953</v>
      </c>
      <c r="CB11" s="3" t="s">
        <v>83</v>
      </c>
      <c r="CC11" s="3" t="s">
        <v>83</v>
      </c>
    </row>
    <row r="12" spans="1:81" ht="15.75" x14ac:dyDescent="0.25">
      <c r="A12" s="2" t="s">
        <v>93</v>
      </c>
      <c r="B12" s="3" t="s">
        <v>83</v>
      </c>
      <c r="C12" s="3">
        <v>22716</v>
      </c>
      <c r="D12" s="3" t="s">
        <v>83</v>
      </c>
      <c r="E12" s="3" t="s">
        <v>83</v>
      </c>
      <c r="F12" s="3" t="s">
        <v>83</v>
      </c>
      <c r="G12" s="3" t="s">
        <v>83</v>
      </c>
      <c r="H12" s="3" t="s">
        <v>83</v>
      </c>
      <c r="I12" s="3">
        <v>6292</v>
      </c>
      <c r="J12" s="3" t="s">
        <v>83</v>
      </c>
      <c r="K12" s="3" t="s">
        <v>83</v>
      </c>
      <c r="L12" s="3" t="s">
        <v>83</v>
      </c>
      <c r="M12" s="3">
        <v>7243</v>
      </c>
      <c r="N12" s="3" t="s">
        <v>83</v>
      </c>
      <c r="O12" s="3" t="s">
        <v>83</v>
      </c>
      <c r="P12" s="3" t="s">
        <v>83</v>
      </c>
      <c r="Q12" s="3">
        <v>2566</v>
      </c>
      <c r="R12" s="3" t="s">
        <v>83</v>
      </c>
      <c r="S12" s="3">
        <v>9172</v>
      </c>
      <c r="T12" s="3" t="s">
        <v>83</v>
      </c>
      <c r="U12" s="3" t="s">
        <v>83</v>
      </c>
      <c r="V12" s="3" t="s">
        <v>83</v>
      </c>
      <c r="W12" s="3">
        <v>1314</v>
      </c>
      <c r="X12" s="3" t="s">
        <v>83</v>
      </c>
      <c r="Y12" s="3" t="s">
        <v>83</v>
      </c>
      <c r="Z12" s="3" t="s">
        <v>83</v>
      </c>
      <c r="AA12" s="3">
        <v>1105</v>
      </c>
      <c r="AB12" s="3" t="s">
        <v>83</v>
      </c>
      <c r="AC12" s="3" t="s">
        <v>83</v>
      </c>
      <c r="AD12" s="3" t="s">
        <v>83</v>
      </c>
      <c r="AE12" s="3">
        <v>5604</v>
      </c>
      <c r="AF12" s="3" t="s">
        <v>83</v>
      </c>
      <c r="AG12" s="3" t="s">
        <v>83</v>
      </c>
      <c r="AH12" s="3" t="s">
        <v>83</v>
      </c>
      <c r="AI12" s="3" t="s">
        <v>83</v>
      </c>
      <c r="AJ12" s="3" t="s">
        <v>83</v>
      </c>
      <c r="AK12" s="3">
        <v>2769</v>
      </c>
      <c r="AL12" s="3" t="s">
        <v>83</v>
      </c>
      <c r="AM12" s="3" t="s">
        <v>83</v>
      </c>
      <c r="AN12" s="3" t="s">
        <v>83</v>
      </c>
      <c r="AO12" s="3" t="s">
        <v>83</v>
      </c>
      <c r="AP12" s="3" t="s">
        <v>83</v>
      </c>
      <c r="AQ12" s="3">
        <v>2191</v>
      </c>
      <c r="AR12" s="3" t="s">
        <v>83</v>
      </c>
      <c r="AS12" s="3" t="s">
        <v>83</v>
      </c>
      <c r="AT12" s="3" t="s">
        <v>83</v>
      </c>
      <c r="AU12" s="3" t="s">
        <v>83</v>
      </c>
      <c r="AV12" s="3" t="s">
        <v>83</v>
      </c>
      <c r="AW12" s="3">
        <v>7310</v>
      </c>
      <c r="AX12" s="3" t="s">
        <v>83</v>
      </c>
      <c r="AY12" s="3">
        <v>12183</v>
      </c>
      <c r="AZ12" s="3" t="s">
        <v>83</v>
      </c>
      <c r="BA12" s="3" t="s">
        <v>83</v>
      </c>
      <c r="BB12" s="3" t="s">
        <v>83</v>
      </c>
      <c r="BC12" s="3" t="s">
        <v>83</v>
      </c>
      <c r="BD12" s="3" t="s">
        <v>83</v>
      </c>
      <c r="BE12" s="3">
        <v>1838</v>
      </c>
      <c r="BF12" s="3" t="s">
        <v>83</v>
      </c>
      <c r="BG12" s="3">
        <v>2933</v>
      </c>
      <c r="BH12" s="3" t="s">
        <v>83</v>
      </c>
      <c r="BI12" s="3" t="s">
        <v>83</v>
      </c>
      <c r="BJ12" s="3" t="s">
        <v>83</v>
      </c>
      <c r="BK12" s="3">
        <v>9720</v>
      </c>
      <c r="BL12" s="3" t="s">
        <v>83</v>
      </c>
      <c r="BM12" s="3" t="s">
        <v>83</v>
      </c>
      <c r="BN12" s="3" t="s">
        <v>83</v>
      </c>
      <c r="BO12" s="3">
        <v>1712</v>
      </c>
      <c r="BP12" s="3" t="s">
        <v>83</v>
      </c>
      <c r="BQ12" s="3" t="s">
        <v>83</v>
      </c>
      <c r="BR12" s="3" t="s">
        <v>83</v>
      </c>
      <c r="BS12" s="3" t="s">
        <v>83</v>
      </c>
      <c r="BT12" s="3" t="s">
        <v>83</v>
      </c>
      <c r="BU12" s="3">
        <v>4099</v>
      </c>
      <c r="BV12" s="3"/>
      <c r="BW12" s="3">
        <v>2471</v>
      </c>
      <c r="BX12" s="3" t="s">
        <v>83</v>
      </c>
      <c r="BY12" s="3" t="s">
        <v>83</v>
      </c>
      <c r="BZ12" s="3" t="s">
        <v>83</v>
      </c>
      <c r="CA12" s="3">
        <v>1201</v>
      </c>
      <c r="CB12" s="3" t="s">
        <v>83</v>
      </c>
      <c r="CC12" s="3" t="s">
        <v>83</v>
      </c>
    </row>
    <row r="13" spans="1:81" ht="15.75" x14ac:dyDescent="0.25">
      <c r="A13" s="2" t="s">
        <v>94</v>
      </c>
      <c r="B13" s="3" t="s">
        <v>83</v>
      </c>
      <c r="C13" s="3">
        <v>3178</v>
      </c>
      <c r="D13" s="3" t="s">
        <v>83</v>
      </c>
      <c r="E13" s="3" t="s">
        <v>83</v>
      </c>
      <c r="F13" s="3" t="s">
        <v>83</v>
      </c>
      <c r="G13" s="3" t="s">
        <v>83</v>
      </c>
      <c r="H13" s="3" t="s">
        <v>83</v>
      </c>
      <c r="I13" s="3">
        <v>35532</v>
      </c>
      <c r="J13" s="3" t="s">
        <v>83</v>
      </c>
      <c r="K13" s="3" t="s">
        <v>83</v>
      </c>
      <c r="L13" s="3" t="s">
        <v>83</v>
      </c>
      <c r="M13" s="3">
        <v>23372</v>
      </c>
      <c r="N13" s="3" t="s">
        <v>83</v>
      </c>
      <c r="O13" s="3" t="s">
        <v>83</v>
      </c>
      <c r="P13" s="3" t="s">
        <v>83</v>
      </c>
      <c r="Q13" s="3">
        <v>13496</v>
      </c>
      <c r="R13" s="3" t="s">
        <v>83</v>
      </c>
      <c r="S13" s="3">
        <v>52248</v>
      </c>
      <c r="T13" s="3" t="s">
        <v>83</v>
      </c>
      <c r="U13" s="3" t="s">
        <v>83</v>
      </c>
      <c r="V13" s="3" t="s">
        <v>83</v>
      </c>
      <c r="W13" s="3">
        <v>5936</v>
      </c>
      <c r="X13" s="3" t="s">
        <v>83</v>
      </c>
      <c r="Y13" s="3" t="s">
        <v>83</v>
      </c>
      <c r="Z13" s="3" t="s">
        <v>83</v>
      </c>
      <c r="AA13" s="3">
        <v>7612</v>
      </c>
      <c r="AB13" s="3" t="s">
        <v>83</v>
      </c>
      <c r="AC13" s="3" t="s">
        <v>83</v>
      </c>
      <c r="AD13" s="3" t="s">
        <v>83</v>
      </c>
      <c r="AE13" s="3">
        <v>24579</v>
      </c>
      <c r="AF13" s="3" t="s">
        <v>83</v>
      </c>
      <c r="AG13" s="3" t="s">
        <v>83</v>
      </c>
      <c r="AH13" s="3" t="s">
        <v>83</v>
      </c>
      <c r="AI13" s="3" t="s">
        <v>83</v>
      </c>
      <c r="AJ13" s="3" t="s">
        <v>83</v>
      </c>
      <c r="AK13" s="3">
        <v>11054</v>
      </c>
      <c r="AL13" s="3" t="s">
        <v>83</v>
      </c>
      <c r="AM13" s="3" t="s">
        <v>83</v>
      </c>
      <c r="AN13" s="3" t="s">
        <v>83</v>
      </c>
      <c r="AO13" s="3" t="s">
        <v>83</v>
      </c>
      <c r="AP13" s="3" t="s">
        <v>83</v>
      </c>
      <c r="AQ13" s="3">
        <v>25894</v>
      </c>
      <c r="AR13" s="3" t="s">
        <v>83</v>
      </c>
      <c r="AS13" s="3" t="s">
        <v>83</v>
      </c>
      <c r="AT13" s="3" t="s">
        <v>83</v>
      </c>
      <c r="AU13" s="3" t="s">
        <v>83</v>
      </c>
      <c r="AV13" s="3" t="s">
        <v>83</v>
      </c>
      <c r="AW13" s="3">
        <v>34271</v>
      </c>
      <c r="AX13" s="3" t="s">
        <v>83</v>
      </c>
      <c r="AY13" s="3">
        <v>68084</v>
      </c>
      <c r="AZ13" s="3" t="s">
        <v>83</v>
      </c>
      <c r="BA13" s="3" t="s">
        <v>83</v>
      </c>
      <c r="BB13" s="3" t="s">
        <v>83</v>
      </c>
      <c r="BC13" s="3" t="s">
        <v>83</v>
      </c>
      <c r="BD13" s="3" t="s">
        <v>83</v>
      </c>
      <c r="BE13" s="3">
        <v>3769</v>
      </c>
      <c r="BF13" s="3" t="s">
        <v>83</v>
      </c>
      <c r="BG13" s="3">
        <v>17944</v>
      </c>
      <c r="BH13" s="3" t="s">
        <v>83</v>
      </c>
      <c r="BI13" s="3" t="s">
        <v>83</v>
      </c>
      <c r="BJ13" s="3" t="s">
        <v>83</v>
      </c>
      <c r="BK13" s="3">
        <v>21932</v>
      </c>
      <c r="BL13" s="3" t="s">
        <v>83</v>
      </c>
      <c r="BM13" s="3" t="s">
        <v>83</v>
      </c>
      <c r="BN13" s="3" t="s">
        <v>83</v>
      </c>
      <c r="BO13" s="3">
        <v>7659</v>
      </c>
      <c r="BP13" s="3" t="s">
        <v>83</v>
      </c>
      <c r="BQ13" s="3" t="s">
        <v>83</v>
      </c>
      <c r="BR13" s="3" t="s">
        <v>83</v>
      </c>
      <c r="BS13" s="3" t="s">
        <v>83</v>
      </c>
      <c r="BT13" s="3" t="s">
        <v>83</v>
      </c>
      <c r="BU13" s="3">
        <v>15424</v>
      </c>
      <c r="BV13" s="3"/>
      <c r="BW13" s="3">
        <v>19246</v>
      </c>
      <c r="BX13" s="3" t="s">
        <v>83</v>
      </c>
      <c r="BY13" s="3" t="s">
        <v>83</v>
      </c>
      <c r="BZ13" s="3" t="s">
        <v>83</v>
      </c>
      <c r="CA13" s="3">
        <v>7961</v>
      </c>
      <c r="CB13" s="3" t="s">
        <v>83</v>
      </c>
      <c r="CC13" s="3" t="s">
        <v>83</v>
      </c>
    </row>
    <row r="14" spans="1:81" ht="15.75" x14ac:dyDescent="0.25">
      <c r="A14" s="2" t="s">
        <v>95</v>
      </c>
      <c r="B14" s="3" t="s">
        <v>83</v>
      </c>
      <c r="C14" s="3"/>
      <c r="D14" s="3" t="s">
        <v>83</v>
      </c>
      <c r="E14" s="3" t="s">
        <v>83</v>
      </c>
      <c r="F14" s="3" t="s">
        <v>83</v>
      </c>
      <c r="G14" s="3" t="s">
        <v>83</v>
      </c>
      <c r="H14" s="3" t="s">
        <v>83</v>
      </c>
      <c r="I14" s="3">
        <v>3381</v>
      </c>
      <c r="J14" s="3" t="s">
        <v>83</v>
      </c>
      <c r="K14" s="3" t="s">
        <v>83</v>
      </c>
      <c r="L14" s="3" t="s">
        <v>83</v>
      </c>
      <c r="M14" s="3">
        <v>2624</v>
      </c>
      <c r="N14" s="3" t="s">
        <v>83</v>
      </c>
      <c r="O14" s="3" t="s">
        <v>83</v>
      </c>
      <c r="P14" s="3" t="s">
        <v>83</v>
      </c>
      <c r="Q14" s="3">
        <v>916</v>
      </c>
      <c r="R14" s="3" t="s">
        <v>83</v>
      </c>
      <c r="S14" s="3">
        <v>40642</v>
      </c>
      <c r="T14" s="3" t="s">
        <v>83</v>
      </c>
      <c r="U14" s="3" t="s">
        <v>83</v>
      </c>
      <c r="V14" s="3" t="s">
        <v>83</v>
      </c>
      <c r="W14" s="3">
        <v>677</v>
      </c>
      <c r="X14" s="3" t="s">
        <v>83</v>
      </c>
      <c r="Y14" s="3" t="s">
        <v>83</v>
      </c>
      <c r="Z14" s="3" t="s">
        <v>83</v>
      </c>
      <c r="AA14" s="3">
        <v>1075</v>
      </c>
      <c r="AB14" s="3" t="s">
        <v>83</v>
      </c>
      <c r="AC14" s="3" t="s">
        <v>83</v>
      </c>
      <c r="AD14" s="3">
        <v>888</v>
      </c>
      <c r="AE14" s="3">
        <v>8367</v>
      </c>
      <c r="AF14" s="3">
        <v>986</v>
      </c>
      <c r="AG14" s="3">
        <v>760</v>
      </c>
      <c r="AH14" s="3" t="s">
        <v>83</v>
      </c>
      <c r="AI14" s="3" t="s">
        <v>83</v>
      </c>
      <c r="AJ14" s="3" t="s">
        <v>83</v>
      </c>
      <c r="AK14" s="3">
        <v>1235</v>
      </c>
      <c r="AL14" s="3" t="s">
        <v>83</v>
      </c>
      <c r="AM14" s="3" t="s">
        <v>83</v>
      </c>
      <c r="AN14" s="3" t="s">
        <v>83</v>
      </c>
      <c r="AO14" s="3" t="s">
        <v>83</v>
      </c>
      <c r="AP14" s="3" t="s">
        <v>83</v>
      </c>
      <c r="AQ14" s="3">
        <v>3706</v>
      </c>
      <c r="AR14" s="3" t="s">
        <v>83</v>
      </c>
      <c r="AS14" s="3" t="s">
        <v>83</v>
      </c>
      <c r="AT14" s="3" t="s">
        <v>83</v>
      </c>
      <c r="AU14" s="3" t="s">
        <v>83</v>
      </c>
      <c r="AV14" s="3" t="s">
        <v>83</v>
      </c>
      <c r="AW14" s="3">
        <v>6584</v>
      </c>
      <c r="AX14" s="3" t="s">
        <v>83</v>
      </c>
      <c r="AY14" s="3">
        <v>6953</v>
      </c>
      <c r="AZ14" s="3" t="s">
        <v>83</v>
      </c>
      <c r="BA14" s="3" t="s">
        <v>83</v>
      </c>
      <c r="BB14" s="3" t="s">
        <v>83</v>
      </c>
      <c r="BC14" s="3" t="s">
        <v>83</v>
      </c>
      <c r="BD14" s="3" t="s">
        <v>83</v>
      </c>
      <c r="BE14" s="3">
        <v>524</v>
      </c>
      <c r="BF14" s="3" t="s">
        <v>83</v>
      </c>
      <c r="BG14" s="3">
        <v>3230</v>
      </c>
      <c r="BH14" s="3" t="s">
        <v>83</v>
      </c>
      <c r="BI14" s="3" t="s">
        <v>83</v>
      </c>
      <c r="BJ14" s="3" t="s">
        <v>83</v>
      </c>
      <c r="BK14" s="3">
        <v>2906</v>
      </c>
      <c r="BL14" s="3" t="s">
        <v>83</v>
      </c>
      <c r="BM14" s="3" t="s">
        <v>83</v>
      </c>
      <c r="BN14" s="3" t="s">
        <v>83</v>
      </c>
      <c r="BO14" s="3">
        <v>684</v>
      </c>
      <c r="BP14" s="3" t="s">
        <v>83</v>
      </c>
      <c r="BQ14" s="3" t="s">
        <v>83</v>
      </c>
      <c r="BR14" s="3" t="s">
        <v>83</v>
      </c>
      <c r="BS14" s="3" t="s">
        <v>83</v>
      </c>
      <c r="BT14" s="3" t="s">
        <v>83</v>
      </c>
      <c r="BU14" s="3">
        <v>1764</v>
      </c>
      <c r="BV14" s="3"/>
      <c r="BW14" s="3">
        <v>2075</v>
      </c>
      <c r="BX14" s="3" t="s">
        <v>83</v>
      </c>
      <c r="BY14" s="3" t="s">
        <v>83</v>
      </c>
      <c r="BZ14" s="3" t="s">
        <v>83</v>
      </c>
      <c r="CA14" s="3">
        <v>1215</v>
      </c>
      <c r="CB14" s="3" t="s">
        <v>83</v>
      </c>
      <c r="CC14" s="3" t="s">
        <v>83</v>
      </c>
    </row>
    <row r="15" spans="1:81" ht="15.75" x14ac:dyDescent="0.25">
      <c r="A15" s="2" t="s">
        <v>96</v>
      </c>
      <c r="B15" s="3" t="s">
        <v>83</v>
      </c>
      <c r="C15" s="3">
        <v>7986</v>
      </c>
      <c r="D15" s="3" t="s">
        <v>83</v>
      </c>
      <c r="E15" s="3" t="s">
        <v>83</v>
      </c>
      <c r="F15" s="3" t="s">
        <v>83</v>
      </c>
      <c r="G15" s="3" t="s">
        <v>83</v>
      </c>
      <c r="H15" s="3" t="s">
        <v>83</v>
      </c>
      <c r="I15" s="3">
        <v>13271</v>
      </c>
      <c r="J15" s="3" t="s">
        <v>83</v>
      </c>
      <c r="K15" s="3" t="s">
        <v>83</v>
      </c>
      <c r="L15" s="3" t="s">
        <v>83</v>
      </c>
      <c r="M15" s="3">
        <v>7164</v>
      </c>
      <c r="N15" s="3" t="s">
        <v>83</v>
      </c>
      <c r="O15" s="3" t="s">
        <v>83</v>
      </c>
      <c r="P15" s="3" t="s">
        <v>83</v>
      </c>
      <c r="Q15" s="3">
        <v>2758</v>
      </c>
      <c r="R15" s="3" t="s">
        <v>83</v>
      </c>
      <c r="S15" s="3">
        <v>32358</v>
      </c>
      <c r="T15" s="3" t="s">
        <v>83</v>
      </c>
      <c r="U15" s="3" t="s">
        <v>83</v>
      </c>
      <c r="V15" s="3" t="s">
        <v>83</v>
      </c>
      <c r="W15" s="3">
        <v>2364</v>
      </c>
      <c r="X15" s="3" t="s">
        <v>83</v>
      </c>
      <c r="Y15" s="3" t="s">
        <v>83</v>
      </c>
      <c r="Z15" s="3" t="s">
        <v>83</v>
      </c>
      <c r="AA15" s="3">
        <v>2325</v>
      </c>
      <c r="AB15" s="3" t="s">
        <v>83</v>
      </c>
      <c r="AC15" s="3" t="s">
        <v>83</v>
      </c>
      <c r="AD15" s="3" t="s">
        <v>83</v>
      </c>
      <c r="AE15" s="3">
        <v>17135</v>
      </c>
      <c r="AF15" s="3" t="s">
        <v>83</v>
      </c>
      <c r="AG15" s="3" t="s">
        <v>83</v>
      </c>
      <c r="AH15" s="3" t="s">
        <v>83</v>
      </c>
      <c r="AI15" s="3" t="s">
        <v>83</v>
      </c>
      <c r="AJ15" s="3" t="s">
        <v>83</v>
      </c>
      <c r="AK15" s="3">
        <v>3789</v>
      </c>
      <c r="AL15" s="3" t="s">
        <v>83</v>
      </c>
      <c r="AM15" s="3" t="s">
        <v>83</v>
      </c>
      <c r="AN15" s="3" t="s">
        <v>83</v>
      </c>
      <c r="AO15" s="3" t="s">
        <v>83</v>
      </c>
      <c r="AP15" s="3" t="s">
        <v>83</v>
      </c>
      <c r="AQ15" s="3">
        <v>10891</v>
      </c>
      <c r="AR15" s="3" t="s">
        <v>83</v>
      </c>
      <c r="AS15" s="3" t="s">
        <v>83</v>
      </c>
      <c r="AT15" s="3" t="s">
        <v>83</v>
      </c>
      <c r="AU15" s="3" t="s">
        <v>83</v>
      </c>
      <c r="AV15" s="3" t="s">
        <v>83</v>
      </c>
      <c r="AW15" s="3">
        <v>8157</v>
      </c>
      <c r="AX15" s="3" t="s">
        <v>83</v>
      </c>
      <c r="AY15" s="3">
        <v>27005</v>
      </c>
      <c r="AZ15" s="3" t="s">
        <v>83</v>
      </c>
      <c r="BA15" s="3" t="s">
        <v>83</v>
      </c>
      <c r="BB15" s="3" t="s">
        <v>83</v>
      </c>
      <c r="BC15" s="3" t="s">
        <v>83</v>
      </c>
      <c r="BD15" s="3" t="s">
        <v>83</v>
      </c>
      <c r="BE15" s="3">
        <v>1880</v>
      </c>
      <c r="BF15" s="3" t="s">
        <v>83</v>
      </c>
      <c r="BG15" s="3">
        <v>7944</v>
      </c>
      <c r="BH15" s="3" t="s">
        <v>83</v>
      </c>
      <c r="BI15" s="3" t="s">
        <v>83</v>
      </c>
      <c r="BJ15" s="3" t="s">
        <v>83</v>
      </c>
      <c r="BK15" s="3">
        <v>6770</v>
      </c>
      <c r="BL15" s="3" t="s">
        <v>83</v>
      </c>
      <c r="BM15" s="3" t="s">
        <v>83</v>
      </c>
      <c r="BN15" s="3" t="s">
        <v>83</v>
      </c>
      <c r="BO15" s="3">
        <v>2327</v>
      </c>
      <c r="BP15" s="3" t="s">
        <v>83</v>
      </c>
      <c r="BQ15" s="3" t="s">
        <v>83</v>
      </c>
      <c r="BR15" s="3" t="s">
        <v>83</v>
      </c>
      <c r="BS15" s="3" t="s">
        <v>83</v>
      </c>
      <c r="BT15" s="3" t="s">
        <v>83</v>
      </c>
      <c r="BU15" s="3">
        <v>4132</v>
      </c>
      <c r="BV15" s="3"/>
      <c r="BW15" s="3">
        <v>7972</v>
      </c>
      <c r="BX15" s="3" t="s">
        <v>83</v>
      </c>
      <c r="BY15" s="3" t="s">
        <v>83</v>
      </c>
      <c r="BZ15" s="3" t="s">
        <v>83</v>
      </c>
      <c r="CA15" s="3">
        <v>3660</v>
      </c>
      <c r="CB15" s="3" t="s">
        <v>83</v>
      </c>
      <c r="CC15" s="3" t="s">
        <v>83</v>
      </c>
    </row>
    <row r="16" spans="1:81" ht="15.75" x14ac:dyDescent="0.25">
      <c r="A16" s="2" t="s">
        <v>97</v>
      </c>
      <c r="B16" s="3">
        <v>4782</v>
      </c>
      <c r="C16" s="3">
        <v>4821</v>
      </c>
      <c r="D16" s="3">
        <v>8878</v>
      </c>
      <c r="E16" s="3">
        <v>11582</v>
      </c>
      <c r="F16" s="3">
        <v>4345</v>
      </c>
      <c r="G16" s="3">
        <v>4167</v>
      </c>
      <c r="H16" s="3">
        <v>4893</v>
      </c>
      <c r="I16" s="3">
        <v>8761</v>
      </c>
      <c r="J16" s="3">
        <v>6225</v>
      </c>
      <c r="K16" s="3">
        <v>6733</v>
      </c>
      <c r="L16" s="3">
        <v>18058</v>
      </c>
      <c r="M16" s="3">
        <v>5464</v>
      </c>
      <c r="N16" s="3">
        <v>5745</v>
      </c>
      <c r="O16" s="3">
        <v>3886</v>
      </c>
      <c r="P16" s="3">
        <v>2913</v>
      </c>
      <c r="Q16" s="3">
        <v>4451</v>
      </c>
      <c r="R16" s="3">
        <v>7245</v>
      </c>
      <c r="S16" s="3">
        <v>10897</v>
      </c>
      <c r="T16" s="3">
        <v>7068</v>
      </c>
      <c r="U16" s="3">
        <v>6518</v>
      </c>
      <c r="V16" s="3">
        <v>3357</v>
      </c>
      <c r="W16" s="3">
        <v>2850</v>
      </c>
      <c r="X16" s="3">
        <v>3528</v>
      </c>
      <c r="Y16" s="3">
        <v>3003</v>
      </c>
      <c r="Z16" s="3">
        <v>4896</v>
      </c>
      <c r="AA16" s="3">
        <v>8874</v>
      </c>
      <c r="AB16" s="3">
        <v>10440</v>
      </c>
      <c r="AC16" s="3">
        <v>10007</v>
      </c>
      <c r="AD16" s="3">
        <v>17238</v>
      </c>
      <c r="AE16" s="3">
        <v>5890</v>
      </c>
      <c r="AF16" s="3">
        <v>12176</v>
      </c>
      <c r="AG16" s="3">
        <v>5631</v>
      </c>
      <c r="AH16" s="3">
        <v>3805</v>
      </c>
      <c r="AI16" s="3">
        <v>2503</v>
      </c>
      <c r="AJ16" s="3">
        <v>2120</v>
      </c>
      <c r="AK16" s="3">
        <v>2691</v>
      </c>
      <c r="AL16" s="3">
        <v>3350</v>
      </c>
      <c r="AM16" s="3">
        <v>7223</v>
      </c>
      <c r="AN16" s="3">
        <v>8226</v>
      </c>
      <c r="AO16" s="3">
        <v>5553</v>
      </c>
      <c r="AP16" s="3">
        <v>8400</v>
      </c>
      <c r="AQ16" s="3">
        <v>6896</v>
      </c>
      <c r="AR16" s="3">
        <v>6753</v>
      </c>
      <c r="AS16" s="3">
        <v>3563</v>
      </c>
      <c r="AT16" s="3">
        <v>11222</v>
      </c>
      <c r="AU16" s="3">
        <v>17590</v>
      </c>
      <c r="AV16" s="3">
        <v>20102</v>
      </c>
      <c r="AW16" s="3">
        <v>13012</v>
      </c>
      <c r="AX16" s="3">
        <v>3801</v>
      </c>
      <c r="AY16" s="3">
        <v>14834</v>
      </c>
      <c r="AZ16" s="3">
        <v>4528</v>
      </c>
      <c r="BA16" s="3">
        <v>4370</v>
      </c>
      <c r="BB16" s="3">
        <v>5303</v>
      </c>
      <c r="BC16" s="3">
        <v>2986</v>
      </c>
      <c r="BD16" s="3">
        <v>4557</v>
      </c>
      <c r="BE16" s="3">
        <v>5558</v>
      </c>
      <c r="BF16" s="3">
        <v>7331</v>
      </c>
      <c r="BG16" s="3">
        <v>8430</v>
      </c>
      <c r="BH16" s="3">
        <v>10287</v>
      </c>
      <c r="BI16" s="3">
        <v>9526</v>
      </c>
      <c r="BJ16" s="3">
        <v>5391</v>
      </c>
      <c r="BK16" s="3">
        <v>3791</v>
      </c>
      <c r="BL16" s="3">
        <v>5473</v>
      </c>
      <c r="BM16" s="3">
        <v>5082</v>
      </c>
      <c r="BN16" s="3">
        <v>2374</v>
      </c>
      <c r="BO16" s="3">
        <v>1729</v>
      </c>
      <c r="BP16" s="3">
        <v>2356</v>
      </c>
      <c r="BQ16" s="3">
        <v>2107</v>
      </c>
      <c r="BR16" s="3">
        <v>3010</v>
      </c>
      <c r="BS16" s="3">
        <v>2431</v>
      </c>
      <c r="BT16" s="3">
        <v>2841</v>
      </c>
      <c r="BU16" s="3">
        <v>3704</v>
      </c>
      <c r="BV16" s="3">
        <v>1701</v>
      </c>
      <c r="BW16" s="3">
        <v>1581</v>
      </c>
      <c r="BX16" s="3">
        <v>1118</v>
      </c>
      <c r="BY16" s="3">
        <v>2349</v>
      </c>
      <c r="BZ16" s="3">
        <v>8465</v>
      </c>
      <c r="CA16" s="3">
        <v>5101</v>
      </c>
      <c r="CB16" s="3">
        <v>8138</v>
      </c>
      <c r="CC16" s="3">
        <v>9052</v>
      </c>
    </row>
    <row r="17" spans="1:81" ht="15.75" x14ac:dyDescent="0.25">
      <c r="A17" s="2" t="s">
        <v>98</v>
      </c>
      <c r="B17" s="3">
        <v>49221</v>
      </c>
      <c r="C17" s="3">
        <v>42478</v>
      </c>
      <c r="D17" s="3">
        <v>112682</v>
      </c>
      <c r="E17" s="3">
        <v>49705</v>
      </c>
      <c r="F17" s="3">
        <v>105400</v>
      </c>
      <c r="G17" s="3">
        <v>194141</v>
      </c>
      <c r="H17" s="3">
        <v>43949</v>
      </c>
      <c r="I17" s="3">
        <v>192488</v>
      </c>
      <c r="J17" s="3">
        <v>250792</v>
      </c>
      <c r="K17" s="3">
        <v>299892</v>
      </c>
      <c r="L17" s="3">
        <v>322658</v>
      </c>
      <c r="M17" s="3">
        <v>104209</v>
      </c>
      <c r="N17" s="3">
        <v>128182</v>
      </c>
      <c r="O17" s="3">
        <v>237576</v>
      </c>
      <c r="P17" s="3">
        <v>97610</v>
      </c>
      <c r="Q17" s="3">
        <v>76739</v>
      </c>
      <c r="R17" s="3">
        <v>28439</v>
      </c>
      <c r="S17" s="3">
        <v>111269</v>
      </c>
      <c r="T17" s="3">
        <v>14962</v>
      </c>
      <c r="U17" s="3">
        <v>18008</v>
      </c>
      <c r="V17" s="3">
        <v>122460</v>
      </c>
      <c r="W17" s="3">
        <v>58679</v>
      </c>
      <c r="X17" s="3">
        <v>369853</v>
      </c>
      <c r="Y17" s="3">
        <v>14197</v>
      </c>
      <c r="Z17" s="4">
        <v>2898</v>
      </c>
      <c r="AA17" s="4">
        <v>2331</v>
      </c>
      <c r="AB17" s="4">
        <v>2342</v>
      </c>
      <c r="AC17" s="4">
        <v>6961</v>
      </c>
      <c r="AD17" s="3">
        <v>19195</v>
      </c>
      <c r="AE17" s="3">
        <v>13824</v>
      </c>
      <c r="AF17" s="3">
        <v>7323</v>
      </c>
      <c r="AG17" s="3">
        <v>13412</v>
      </c>
      <c r="AH17" s="3">
        <v>25069</v>
      </c>
      <c r="AI17" s="3">
        <v>103466</v>
      </c>
      <c r="AJ17" s="3">
        <v>37854</v>
      </c>
      <c r="AK17" s="3">
        <v>34402</v>
      </c>
      <c r="AL17" s="3">
        <v>70211</v>
      </c>
      <c r="AM17" s="3">
        <v>73359</v>
      </c>
      <c r="AN17" s="3">
        <v>115517</v>
      </c>
      <c r="AO17" s="3">
        <v>50025</v>
      </c>
      <c r="AP17" s="3">
        <v>8357</v>
      </c>
      <c r="AQ17" s="3">
        <v>190432</v>
      </c>
      <c r="AR17" s="3">
        <v>151416</v>
      </c>
      <c r="AS17" s="3">
        <v>291542</v>
      </c>
      <c r="AT17" s="3">
        <v>15143</v>
      </c>
      <c r="AU17" s="3">
        <v>114206</v>
      </c>
      <c r="AV17" s="3">
        <v>65955</v>
      </c>
      <c r="AW17" s="3">
        <v>51017</v>
      </c>
      <c r="AX17" s="3">
        <v>233350</v>
      </c>
      <c r="AY17" s="3">
        <v>155519</v>
      </c>
      <c r="AZ17" s="3">
        <v>89810</v>
      </c>
      <c r="BA17" s="3">
        <v>134348</v>
      </c>
      <c r="BB17" s="3">
        <v>145842</v>
      </c>
      <c r="BC17" s="3">
        <v>45133</v>
      </c>
      <c r="BD17" s="3">
        <v>52990</v>
      </c>
      <c r="BE17" s="3">
        <v>88595</v>
      </c>
      <c r="BF17" s="3">
        <v>49097</v>
      </c>
      <c r="BG17" s="3">
        <v>53704</v>
      </c>
      <c r="BH17" s="3">
        <v>35167</v>
      </c>
      <c r="BI17" s="3">
        <v>27365</v>
      </c>
      <c r="BJ17" s="3">
        <v>59316</v>
      </c>
      <c r="BK17" s="3">
        <v>73070</v>
      </c>
      <c r="BL17" s="3">
        <v>109613</v>
      </c>
      <c r="BM17" s="3">
        <v>47538</v>
      </c>
      <c r="BN17" s="3">
        <v>94542</v>
      </c>
      <c r="BO17" s="3">
        <v>67289</v>
      </c>
      <c r="BP17" s="3">
        <v>104164</v>
      </c>
      <c r="BQ17" s="3">
        <v>161034</v>
      </c>
      <c r="BR17" s="3">
        <v>7133</v>
      </c>
      <c r="BS17" s="3">
        <v>11344</v>
      </c>
      <c r="BT17" s="3">
        <v>7859</v>
      </c>
      <c r="BU17" s="3">
        <v>22658</v>
      </c>
      <c r="BV17" s="3">
        <v>109442</v>
      </c>
      <c r="BW17" s="3">
        <v>162347</v>
      </c>
      <c r="BX17" s="3">
        <v>170197</v>
      </c>
      <c r="BY17" s="3">
        <v>98183</v>
      </c>
      <c r="BZ17" s="3">
        <v>45969</v>
      </c>
      <c r="CA17" s="3">
        <v>63636</v>
      </c>
      <c r="CB17" s="3">
        <v>276827</v>
      </c>
      <c r="CC17" s="3">
        <v>60397</v>
      </c>
    </row>
    <row r="21" spans="1:81" x14ac:dyDescent="0.25">
      <c r="A21" t="s">
        <v>137</v>
      </c>
    </row>
    <row r="22" spans="1:81" x14ac:dyDescent="0.25">
      <c r="A22" t="s">
        <v>138</v>
      </c>
    </row>
    <row r="23" spans="1:81" x14ac:dyDescent="0.25">
      <c r="A23" t="s">
        <v>139</v>
      </c>
    </row>
    <row r="24" spans="1:81" x14ac:dyDescent="0.25">
      <c r="A24" t="s">
        <v>140</v>
      </c>
      <c r="B24">
        <v>230</v>
      </c>
      <c r="C24">
        <v>250</v>
      </c>
      <c r="D24">
        <v>280</v>
      </c>
      <c r="E24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64BE-972B-4568-BCAA-BAF50E325961}">
  <dimension ref="A1:H17"/>
  <sheetViews>
    <sheetView workbookViewId="0">
      <selection activeCell="F25" sqref="F25"/>
    </sheetView>
  </sheetViews>
  <sheetFormatPr defaultRowHeight="15" x14ac:dyDescent="0.25"/>
  <sheetData>
    <row r="1" spans="1:8" x14ac:dyDescent="0.25">
      <c r="A1" t="s">
        <v>99</v>
      </c>
      <c r="F1" t="s">
        <v>115</v>
      </c>
    </row>
    <row r="2" spans="1:8" x14ac:dyDescent="0.25">
      <c r="A2" s="5">
        <v>1.6000000000000001E-3</v>
      </c>
      <c r="D2" t="s">
        <v>114</v>
      </c>
      <c r="F2">
        <v>484.83</v>
      </c>
    </row>
    <row r="3" spans="1:8" x14ac:dyDescent="0.25">
      <c r="A3">
        <f>A2/3.2</f>
        <v>5.0000000000000001E-4</v>
      </c>
      <c r="B3" t="s">
        <v>100</v>
      </c>
    </row>
    <row r="4" spans="1:8" x14ac:dyDescent="0.25">
      <c r="A4">
        <f>A3*1000</f>
        <v>0.5</v>
      </c>
      <c r="B4" t="s">
        <v>101</v>
      </c>
    </row>
    <row r="5" spans="1:8" x14ac:dyDescent="0.25">
      <c r="A5">
        <f>A4/1000</f>
        <v>5.0000000000000001E-4</v>
      </c>
      <c r="B5" t="s">
        <v>102</v>
      </c>
    </row>
    <row r="6" spans="1:8" x14ac:dyDescent="0.25">
      <c r="A6">
        <f>A5*20</f>
        <v>0.01</v>
      </c>
      <c r="B6" t="s">
        <v>103</v>
      </c>
    </row>
    <row r="7" spans="1:8" x14ac:dyDescent="0.25">
      <c r="A7">
        <v>0.01</v>
      </c>
      <c r="B7" t="s">
        <v>104</v>
      </c>
    </row>
    <row r="8" spans="1:8" x14ac:dyDescent="0.25">
      <c r="A8">
        <f>A7/2</f>
        <v>5.0000000000000001E-3</v>
      </c>
      <c r="B8" t="s">
        <v>105</v>
      </c>
    </row>
    <row r="9" spans="1:8" x14ac:dyDescent="0.25">
      <c r="A9">
        <f>A8/1000</f>
        <v>5.0000000000000004E-6</v>
      </c>
      <c r="B9" t="s">
        <v>102</v>
      </c>
    </row>
    <row r="10" spans="1:8" x14ac:dyDescent="0.25">
      <c r="A10">
        <f>A9*100</f>
        <v>5.0000000000000001E-4</v>
      </c>
      <c r="B10" t="s">
        <v>101</v>
      </c>
    </row>
    <row r="11" spans="1:8" x14ac:dyDescent="0.25">
      <c r="A11">
        <f>A10/2</f>
        <v>2.5000000000000001E-4</v>
      </c>
      <c r="B11" t="s">
        <v>106</v>
      </c>
      <c r="E11" t="s">
        <v>116</v>
      </c>
    </row>
    <row r="12" spans="1:8" x14ac:dyDescent="0.25">
      <c r="A12">
        <f>A11/1.5</f>
        <v>1.6666666666666666E-4</v>
      </c>
      <c r="B12" t="s">
        <v>107</v>
      </c>
      <c r="C12" t="s">
        <v>108</v>
      </c>
      <c r="D12" t="s">
        <v>109</v>
      </c>
      <c r="E12" t="s">
        <v>110</v>
      </c>
      <c r="G12" t="s">
        <v>117</v>
      </c>
      <c r="H12" t="s">
        <v>111</v>
      </c>
    </row>
    <row r="13" spans="1:8" x14ac:dyDescent="0.25">
      <c r="A13">
        <f>A12/2</f>
        <v>8.3333333333333331E-5</v>
      </c>
      <c r="B13" t="s">
        <v>101</v>
      </c>
      <c r="C13">
        <f>A13*1000000</f>
        <v>83.333333333333329</v>
      </c>
      <c r="D13">
        <f>C13/1000</f>
        <v>8.3333333333333329E-2</v>
      </c>
      <c r="E13">
        <f>D13*3</f>
        <v>0.25</v>
      </c>
      <c r="F13" t="s">
        <v>118</v>
      </c>
      <c r="G13">
        <v>1.5625E-2</v>
      </c>
      <c r="H13">
        <v>14390</v>
      </c>
    </row>
    <row r="14" spans="1:8" x14ac:dyDescent="0.25">
      <c r="A14">
        <f t="shared" ref="A14:A17" si="0">A13/2</f>
        <v>4.1666666666666665E-5</v>
      </c>
      <c r="C14">
        <f t="shared" ref="C14:C17" si="1">A14*1000000</f>
        <v>41.666666666666664</v>
      </c>
      <c r="D14">
        <f t="shared" ref="D14:D17" si="2">C14/1000</f>
        <v>4.1666666666666664E-2</v>
      </c>
      <c r="E14">
        <f t="shared" ref="E14:E17" si="3">D14*3</f>
        <v>0.125</v>
      </c>
      <c r="F14" t="s">
        <v>120</v>
      </c>
      <c r="G14">
        <v>3.125E-2</v>
      </c>
      <c r="H14">
        <v>40071</v>
      </c>
    </row>
    <row r="15" spans="1:8" x14ac:dyDescent="0.25">
      <c r="A15">
        <f t="shared" si="0"/>
        <v>2.0833333333333333E-5</v>
      </c>
      <c r="C15">
        <f t="shared" si="1"/>
        <v>20.833333333333332</v>
      </c>
      <c r="D15">
        <f t="shared" si="2"/>
        <v>2.0833333333333332E-2</v>
      </c>
      <c r="E15">
        <f t="shared" si="3"/>
        <v>6.25E-2</v>
      </c>
      <c r="F15" t="s">
        <v>119</v>
      </c>
      <c r="G15">
        <v>6.25E-2</v>
      </c>
      <c r="H15">
        <v>80000</v>
      </c>
    </row>
    <row r="16" spans="1:8" x14ac:dyDescent="0.25">
      <c r="A16">
        <f t="shared" si="0"/>
        <v>1.0416666666666666E-5</v>
      </c>
      <c r="C16">
        <f t="shared" si="1"/>
        <v>10.416666666666666</v>
      </c>
      <c r="D16">
        <f t="shared" si="2"/>
        <v>1.0416666666666666E-2</v>
      </c>
      <c r="E16">
        <f t="shared" si="3"/>
        <v>3.125E-2</v>
      </c>
      <c r="F16" t="s">
        <v>121</v>
      </c>
      <c r="G16">
        <v>0.125</v>
      </c>
      <c r="H16">
        <v>159028</v>
      </c>
    </row>
    <row r="17" spans="1:8" x14ac:dyDescent="0.25">
      <c r="A17">
        <f t="shared" si="0"/>
        <v>5.2083333333333332E-6</v>
      </c>
      <c r="C17">
        <f t="shared" si="1"/>
        <v>5.208333333333333</v>
      </c>
      <c r="D17">
        <f t="shared" si="2"/>
        <v>5.208333333333333E-3</v>
      </c>
      <c r="E17">
        <f t="shared" si="3"/>
        <v>1.5625E-2</v>
      </c>
      <c r="F17" t="s">
        <v>122</v>
      </c>
      <c r="G17">
        <v>0.25</v>
      </c>
      <c r="H17">
        <v>319025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842C-7906-4DCC-8ABC-AC350CBFE0F3}">
  <dimension ref="A1:CC70"/>
  <sheetViews>
    <sheetView topLeftCell="BB12" workbookViewId="0">
      <selection activeCell="BK38" sqref="BK38"/>
    </sheetView>
  </sheetViews>
  <sheetFormatPr defaultRowHeight="15" x14ac:dyDescent="0.25"/>
  <cols>
    <col min="1" max="1" width="15.140625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15.75" x14ac:dyDescent="0.25">
      <c r="A2" s="2" t="s">
        <v>81</v>
      </c>
      <c r="B2" s="3">
        <v>114304</v>
      </c>
      <c r="C2" s="3">
        <v>254122</v>
      </c>
      <c r="D2" s="3">
        <v>227649</v>
      </c>
      <c r="E2" s="3">
        <v>321699</v>
      </c>
      <c r="F2" s="3">
        <v>252754</v>
      </c>
      <c r="G2" s="3">
        <v>164767</v>
      </c>
      <c r="H2" s="3">
        <v>261836</v>
      </c>
      <c r="I2" s="3">
        <v>199677</v>
      </c>
      <c r="J2" s="3">
        <v>205134</v>
      </c>
      <c r="K2" s="3">
        <v>100203</v>
      </c>
      <c r="L2" s="3">
        <v>210325</v>
      </c>
      <c r="M2" s="3">
        <v>149488</v>
      </c>
      <c r="N2" s="3">
        <v>132598</v>
      </c>
      <c r="O2" s="3">
        <v>191262</v>
      </c>
      <c r="P2" s="3">
        <v>267347</v>
      </c>
      <c r="Q2" s="3">
        <v>590214</v>
      </c>
      <c r="R2" s="3">
        <v>622296</v>
      </c>
      <c r="S2" s="3">
        <v>910801</v>
      </c>
      <c r="T2" s="3">
        <v>613300</v>
      </c>
      <c r="U2" s="3">
        <v>543380</v>
      </c>
      <c r="V2" s="3">
        <v>193615</v>
      </c>
      <c r="W2" s="3">
        <v>56243</v>
      </c>
      <c r="X2" s="3">
        <v>55026</v>
      </c>
      <c r="Y2" s="3">
        <v>67747</v>
      </c>
      <c r="Z2" s="3">
        <v>89803</v>
      </c>
      <c r="AA2" s="3">
        <v>173950</v>
      </c>
      <c r="AB2" s="3">
        <v>108746</v>
      </c>
      <c r="AC2" s="3">
        <v>135906</v>
      </c>
      <c r="AD2" s="3">
        <v>149392</v>
      </c>
      <c r="AE2" s="3">
        <v>234270</v>
      </c>
      <c r="AF2" s="3">
        <v>168671</v>
      </c>
      <c r="AG2" s="3">
        <v>154419</v>
      </c>
      <c r="AH2" s="3">
        <v>139720</v>
      </c>
      <c r="AI2" s="3">
        <v>88652</v>
      </c>
      <c r="AJ2" s="3">
        <v>175258</v>
      </c>
      <c r="AK2" s="3">
        <v>227879</v>
      </c>
      <c r="AL2" s="3">
        <v>126164</v>
      </c>
      <c r="AM2" s="3">
        <v>302906</v>
      </c>
      <c r="AN2" s="3">
        <v>272179</v>
      </c>
      <c r="AO2" s="3">
        <v>281494</v>
      </c>
      <c r="AP2" s="3">
        <v>310126</v>
      </c>
      <c r="AQ2" s="3">
        <v>384771</v>
      </c>
      <c r="AR2" s="3">
        <v>364941</v>
      </c>
      <c r="AS2" s="3">
        <v>474735</v>
      </c>
      <c r="AT2" s="3">
        <v>68188</v>
      </c>
      <c r="AU2" s="3">
        <v>111739</v>
      </c>
      <c r="AV2" s="3">
        <v>137397</v>
      </c>
      <c r="AW2" s="3">
        <v>103387</v>
      </c>
      <c r="AX2" s="3">
        <v>129785</v>
      </c>
      <c r="AY2" s="3">
        <v>132279</v>
      </c>
      <c r="AZ2" s="3">
        <v>123923</v>
      </c>
      <c r="BA2" s="3">
        <v>184100</v>
      </c>
      <c r="BB2" s="3">
        <v>995357</v>
      </c>
      <c r="BC2" s="3">
        <v>578733</v>
      </c>
      <c r="BD2" s="3">
        <v>557730</v>
      </c>
      <c r="BE2" s="3">
        <v>70037</v>
      </c>
      <c r="BF2" s="3">
        <v>193967</v>
      </c>
      <c r="BG2" s="3">
        <v>391858</v>
      </c>
      <c r="BH2" s="3">
        <v>340667</v>
      </c>
      <c r="BI2" s="3">
        <v>339619</v>
      </c>
      <c r="BJ2" s="3">
        <v>89978</v>
      </c>
      <c r="BK2" s="3">
        <v>319062</v>
      </c>
      <c r="BL2" s="3">
        <v>211316</v>
      </c>
      <c r="BM2" s="3">
        <v>141807</v>
      </c>
      <c r="BN2" s="3">
        <v>1000547</v>
      </c>
      <c r="BO2" s="3">
        <v>67420</v>
      </c>
      <c r="BP2" s="3">
        <v>169783</v>
      </c>
      <c r="BQ2" s="3">
        <v>161900</v>
      </c>
      <c r="BR2" s="3">
        <v>479316</v>
      </c>
      <c r="BS2" s="3">
        <v>321070</v>
      </c>
      <c r="BT2" s="3">
        <v>391460</v>
      </c>
      <c r="BU2" s="3">
        <v>184634</v>
      </c>
      <c r="BV2" s="3">
        <v>444284</v>
      </c>
      <c r="BW2" s="3">
        <v>233720</v>
      </c>
      <c r="BX2" s="3">
        <v>288663</v>
      </c>
      <c r="BY2" s="3">
        <v>192636</v>
      </c>
      <c r="BZ2" s="3">
        <v>340428</v>
      </c>
      <c r="CA2" s="3">
        <v>217217</v>
      </c>
      <c r="CB2" s="3">
        <v>257513</v>
      </c>
      <c r="CC2" s="3">
        <v>179999</v>
      </c>
    </row>
    <row r="3" spans="1:81" ht="15.75" x14ac:dyDescent="0.25">
      <c r="A3" s="2" t="s">
        <v>82</v>
      </c>
      <c r="B3" s="3">
        <v>84118</v>
      </c>
      <c r="C3" s="3">
        <v>104957</v>
      </c>
      <c r="D3" s="3">
        <v>91266</v>
      </c>
      <c r="E3" s="3">
        <v>90441</v>
      </c>
      <c r="F3" s="3">
        <v>42624</v>
      </c>
      <c r="G3" s="3">
        <v>9695</v>
      </c>
      <c r="H3" s="3">
        <v>73223</v>
      </c>
      <c r="I3" s="3">
        <v>53636</v>
      </c>
      <c r="J3" s="3">
        <v>70413</v>
      </c>
      <c r="K3" s="3">
        <v>95320</v>
      </c>
      <c r="L3" s="3">
        <v>144351</v>
      </c>
      <c r="M3" s="3" t="s">
        <v>83</v>
      </c>
      <c r="N3" s="3" t="s">
        <v>83</v>
      </c>
      <c r="O3" s="3" t="s">
        <v>83</v>
      </c>
      <c r="P3" s="3" t="s">
        <v>83</v>
      </c>
      <c r="Q3" s="3" t="s">
        <v>83</v>
      </c>
      <c r="R3" s="3" t="s">
        <v>83</v>
      </c>
      <c r="S3" s="3" t="s">
        <v>83</v>
      </c>
      <c r="T3" s="3" t="s">
        <v>83</v>
      </c>
      <c r="U3" s="3">
        <v>105430</v>
      </c>
      <c r="V3" s="3" t="s">
        <v>83</v>
      </c>
      <c r="W3" s="3" t="s">
        <v>83</v>
      </c>
      <c r="X3" s="3" t="s">
        <v>83</v>
      </c>
      <c r="Y3" s="3">
        <v>75133</v>
      </c>
      <c r="Z3" s="3">
        <v>36771</v>
      </c>
      <c r="AA3" s="3">
        <v>58499</v>
      </c>
      <c r="AB3" s="3">
        <v>15587</v>
      </c>
      <c r="AC3" s="3">
        <v>19217</v>
      </c>
      <c r="AD3" s="3" t="s">
        <v>83</v>
      </c>
      <c r="AE3" s="3" t="s">
        <v>83</v>
      </c>
      <c r="AF3" s="3" t="s">
        <v>83</v>
      </c>
      <c r="AG3" s="3" t="s">
        <v>84</v>
      </c>
      <c r="AH3" s="3" t="s">
        <v>83</v>
      </c>
      <c r="AI3" s="3" t="s">
        <v>83</v>
      </c>
      <c r="AJ3" s="3" t="s">
        <v>83</v>
      </c>
      <c r="AK3" s="3" t="s">
        <v>83</v>
      </c>
      <c r="AL3" s="3" t="s">
        <v>83</v>
      </c>
      <c r="AM3" s="3" t="s">
        <v>83</v>
      </c>
      <c r="AN3" s="3" t="s">
        <v>83</v>
      </c>
      <c r="AO3" s="3" t="s">
        <v>83</v>
      </c>
      <c r="AP3" s="3" t="s">
        <v>83</v>
      </c>
      <c r="AQ3" s="3" t="s">
        <v>83</v>
      </c>
      <c r="AR3" s="3" t="s">
        <v>83</v>
      </c>
      <c r="AS3" s="3" t="s">
        <v>83</v>
      </c>
      <c r="AT3" s="3" t="s">
        <v>83</v>
      </c>
      <c r="AU3" s="3" t="s">
        <v>83</v>
      </c>
      <c r="AV3" s="3" t="s">
        <v>83</v>
      </c>
      <c r="AW3" s="3" t="s">
        <v>83</v>
      </c>
      <c r="AX3" s="3" t="s">
        <v>83</v>
      </c>
      <c r="AY3" s="3"/>
      <c r="AZ3" s="3">
        <v>70898</v>
      </c>
      <c r="BA3" s="3">
        <v>152970</v>
      </c>
      <c r="BB3" s="3" t="s">
        <v>83</v>
      </c>
      <c r="BC3" s="3" t="s">
        <v>83</v>
      </c>
      <c r="BD3" s="3" t="s">
        <v>83</v>
      </c>
      <c r="BE3" s="3" t="s">
        <v>83</v>
      </c>
      <c r="BF3" s="3" t="s">
        <v>83</v>
      </c>
      <c r="BG3" s="3"/>
      <c r="BH3" s="3" t="s">
        <v>83</v>
      </c>
      <c r="BI3" s="3" t="s">
        <v>83</v>
      </c>
      <c r="BJ3" s="3" t="s">
        <v>83</v>
      </c>
      <c r="BK3" s="3">
        <v>62799</v>
      </c>
      <c r="BL3" s="3" t="s">
        <v>83</v>
      </c>
      <c r="BM3" s="3" t="s">
        <v>83</v>
      </c>
      <c r="BN3" s="3">
        <v>32876</v>
      </c>
      <c r="BO3" s="3">
        <v>13080</v>
      </c>
      <c r="BP3" s="3">
        <v>36862</v>
      </c>
      <c r="BQ3" s="3">
        <v>14115</v>
      </c>
      <c r="BR3" s="3" t="s">
        <v>83</v>
      </c>
      <c r="BS3" s="3" t="s">
        <v>83</v>
      </c>
      <c r="BT3" s="3" t="s">
        <v>83</v>
      </c>
      <c r="BU3" s="3" t="s">
        <v>83</v>
      </c>
      <c r="BV3" s="3" t="s">
        <v>83</v>
      </c>
      <c r="BW3" s="3" t="s">
        <v>83</v>
      </c>
      <c r="BX3" s="3" t="s">
        <v>83</v>
      </c>
      <c r="BY3" s="3" t="s">
        <v>83</v>
      </c>
      <c r="BZ3" s="3" t="s">
        <v>83</v>
      </c>
      <c r="CA3" s="3" t="s">
        <v>83</v>
      </c>
      <c r="CB3" s="3" t="s">
        <v>83</v>
      </c>
      <c r="CC3" s="3" t="s">
        <v>83</v>
      </c>
    </row>
    <row r="4" spans="1:81" ht="15.75" x14ac:dyDescent="0.25">
      <c r="A4" s="2" t="s">
        <v>85</v>
      </c>
      <c r="B4" s="3" t="s">
        <v>83</v>
      </c>
      <c r="C4" s="3">
        <v>20672</v>
      </c>
      <c r="D4" s="3">
        <v>3067</v>
      </c>
      <c r="E4" s="3">
        <v>2247</v>
      </c>
      <c r="F4" s="3" t="s">
        <v>83</v>
      </c>
      <c r="G4" s="3" t="s">
        <v>83</v>
      </c>
      <c r="H4" s="3" t="s">
        <v>83</v>
      </c>
      <c r="I4" s="3">
        <v>21465</v>
      </c>
      <c r="J4" s="3" t="s">
        <v>83</v>
      </c>
      <c r="K4" s="3" t="s">
        <v>83</v>
      </c>
      <c r="L4" s="3" t="s">
        <v>83</v>
      </c>
      <c r="M4" s="3">
        <v>16955</v>
      </c>
      <c r="N4" s="3" t="s">
        <v>83</v>
      </c>
      <c r="O4" s="3" t="s">
        <v>83</v>
      </c>
      <c r="P4" s="3" t="s">
        <v>83</v>
      </c>
      <c r="Q4" s="3">
        <v>8477</v>
      </c>
      <c r="R4" s="3" t="s">
        <v>83</v>
      </c>
      <c r="S4" s="3">
        <v>14732</v>
      </c>
      <c r="T4" s="3" t="s">
        <v>83</v>
      </c>
      <c r="U4" s="3" t="s">
        <v>83</v>
      </c>
      <c r="V4" s="3" t="s">
        <v>83</v>
      </c>
      <c r="W4" s="3">
        <v>10454</v>
      </c>
      <c r="X4" s="3" t="s">
        <v>83</v>
      </c>
      <c r="Y4" s="3" t="s">
        <v>83</v>
      </c>
      <c r="Z4" s="3" t="s">
        <v>83</v>
      </c>
      <c r="AA4" s="3">
        <v>5884</v>
      </c>
      <c r="AB4" s="3" t="s">
        <v>83</v>
      </c>
      <c r="AC4" s="3" t="s">
        <v>83</v>
      </c>
      <c r="AD4" s="3" t="s">
        <v>83</v>
      </c>
      <c r="AE4" s="3">
        <v>10274</v>
      </c>
      <c r="AF4" s="3" t="s">
        <v>83</v>
      </c>
      <c r="AG4" s="3" t="s">
        <v>83</v>
      </c>
      <c r="AH4" s="3" t="s">
        <v>83</v>
      </c>
      <c r="AI4" s="3" t="s">
        <v>83</v>
      </c>
      <c r="AJ4" s="3" t="s">
        <v>83</v>
      </c>
      <c r="AK4" s="3">
        <v>11042</v>
      </c>
      <c r="AL4" s="3" t="s">
        <v>83</v>
      </c>
      <c r="AM4" s="3" t="s">
        <v>83</v>
      </c>
      <c r="AN4" s="3" t="s">
        <v>83</v>
      </c>
      <c r="AO4" s="3" t="s">
        <v>83</v>
      </c>
      <c r="AP4" s="3" t="s">
        <v>83</v>
      </c>
      <c r="AQ4" s="3">
        <v>10903</v>
      </c>
      <c r="AR4" s="3" t="s">
        <v>83</v>
      </c>
      <c r="AS4" s="3" t="s">
        <v>83</v>
      </c>
      <c r="AT4" s="3" t="s">
        <v>83</v>
      </c>
      <c r="AU4" s="3" t="s">
        <v>83</v>
      </c>
      <c r="AV4" s="3" t="s">
        <v>83</v>
      </c>
      <c r="AW4" s="3">
        <v>10599</v>
      </c>
      <c r="AX4" s="3" t="s">
        <v>83</v>
      </c>
      <c r="AY4" s="3">
        <v>16077</v>
      </c>
      <c r="AZ4" s="3">
        <v>10095</v>
      </c>
      <c r="BA4" s="3" t="s">
        <v>83</v>
      </c>
      <c r="BB4" s="3" t="s">
        <v>83</v>
      </c>
      <c r="BC4" s="3" t="s">
        <v>83</v>
      </c>
      <c r="BD4" s="3" t="s">
        <v>83</v>
      </c>
      <c r="BE4" s="3">
        <v>5158</v>
      </c>
      <c r="BF4" s="3" t="s">
        <v>83</v>
      </c>
      <c r="BG4" s="3">
        <v>8796</v>
      </c>
      <c r="BH4" s="3" t="s">
        <v>83</v>
      </c>
      <c r="BI4" s="3" t="s">
        <v>83</v>
      </c>
      <c r="BJ4" s="3" t="s">
        <v>83</v>
      </c>
      <c r="BK4" s="3">
        <v>34937</v>
      </c>
      <c r="BL4" s="3" t="s">
        <v>83</v>
      </c>
      <c r="BM4" s="3" t="s">
        <v>83</v>
      </c>
      <c r="BN4" s="3" t="s">
        <v>83</v>
      </c>
      <c r="BO4" s="3">
        <v>4736</v>
      </c>
      <c r="BP4" s="3" t="s">
        <v>83</v>
      </c>
      <c r="BQ4" s="3" t="s">
        <v>83</v>
      </c>
      <c r="BR4" s="3" t="s">
        <v>83</v>
      </c>
      <c r="BS4" s="3" t="s">
        <v>83</v>
      </c>
      <c r="BT4" s="3" t="s">
        <v>83</v>
      </c>
      <c r="BU4" s="3">
        <v>7274</v>
      </c>
      <c r="BV4" s="3" t="s">
        <v>83</v>
      </c>
      <c r="BW4" s="3">
        <v>17915</v>
      </c>
      <c r="BX4" s="3" t="s">
        <v>83</v>
      </c>
      <c r="BY4" s="3" t="s">
        <v>83</v>
      </c>
      <c r="BZ4" s="3" t="s">
        <v>83</v>
      </c>
      <c r="CA4" s="3">
        <v>9880</v>
      </c>
      <c r="CB4" s="3" t="s">
        <v>83</v>
      </c>
      <c r="CC4" s="3" t="s">
        <v>83</v>
      </c>
    </row>
    <row r="5" spans="1:81" ht="15.75" x14ac:dyDescent="0.25">
      <c r="A5" s="2" t="s">
        <v>86</v>
      </c>
      <c r="B5" s="3" t="s">
        <v>83</v>
      </c>
      <c r="C5" s="3">
        <v>160827</v>
      </c>
      <c r="D5" s="3" t="s">
        <v>83</v>
      </c>
      <c r="E5" s="3" t="s">
        <v>83</v>
      </c>
      <c r="F5" s="3" t="s">
        <v>83</v>
      </c>
      <c r="G5" s="3" t="s">
        <v>83</v>
      </c>
      <c r="H5" s="3" t="s">
        <v>83</v>
      </c>
      <c r="I5" s="3">
        <v>244759</v>
      </c>
      <c r="J5" s="3" t="s">
        <v>83</v>
      </c>
      <c r="K5" s="3" t="s">
        <v>83</v>
      </c>
      <c r="L5" s="3" t="s">
        <v>83</v>
      </c>
      <c r="M5" s="3">
        <v>131036</v>
      </c>
      <c r="N5" s="3" t="s">
        <v>83</v>
      </c>
      <c r="O5" s="3" t="s">
        <v>83</v>
      </c>
      <c r="P5" s="3" t="s">
        <v>83</v>
      </c>
      <c r="Q5" s="3">
        <v>73645</v>
      </c>
      <c r="R5" s="3" t="s">
        <v>83</v>
      </c>
      <c r="S5" s="3">
        <v>266929</v>
      </c>
      <c r="T5" s="3" t="s">
        <v>83</v>
      </c>
      <c r="U5" s="3" t="s">
        <v>83</v>
      </c>
      <c r="V5" s="3" t="s">
        <v>83</v>
      </c>
      <c r="W5" s="3">
        <v>41409</v>
      </c>
      <c r="X5" s="3" t="s">
        <v>83</v>
      </c>
      <c r="Y5" s="3" t="s">
        <v>83</v>
      </c>
      <c r="Z5" s="3" t="s">
        <v>83</v>
      </c>
      <c r="AA5" s="3">
        <v>46049</v>
      </c>
      <c r="AB5" s="3" t="s">
        <v>83</v>
      </c>
      <c r="AC5" s="3" t="s">
        <v>83</v>
      </c>
      <c r="AD5" s="3" t="s">
        <v>83</v>
      </c>
      <c r="AE5" s="3">
        <v>80016</v>
      </c>
      <c r="AF5" s="3" t="s">
        <v>83</v>
      </c>
      <c r="AG5" s="3" t="s">
        <v>83</v>
      </c>
      <c r="AH5" s="3" t="s">
        <v>83</v>
      </c>
      <c r="AI5" s="3" t="s">
        <v>83</v>
      </c>
      <c r="AJ5" s="3" t="s">
        <v>83</v>
      </c>
      <c r="AK5" s="3">
        <v>74981</v>
      </c>
      <c r="AL5" s="3" t="s">
        <v>83</v>
      </c>
      <c r="AM5" s="3" t="s">
        <v>83</v>
      </c>
      <c r="AN5" s="3" t="s">
        <v>83</v>
      </c>
      <c r="AO5" s="3" t="s">
        <v>83</v>
      </c>
      <c r="AP5" s="3" t="s">
        <v>83</v>
      </c>
      <c r="AQ5" s="3">
        <v>170310</v>
      </c>
      <c r="AR5" s="3" t="s">
        <v>83</v>
      </c>
      <c r="AS5" s="3" t="s">
        <v>83</v>
      </c>
      <c r="AT5" s="3" t="s">
        <v>83</v>
      </c>
      <c r="AU5" s="3" t="s">
        <v>83</v>
      </c>
      <c r="AV5" s="3" t="s">
        <v>83</v>
      </c>
      <c r="AW5" s="3">
        <v>166952</v>
      </c>
      <c r="AX5" s="3" t="s">
        <v>83</v>
      </c>
      <c r="AY5" s="3">
        <v>314529</v>
      </c>
      <c r="AZ5" s="3" t="s">
        <v>83</v>
      </c>
      <c r="BA5" s="3" t="s">
        <v>83</v>
      </c>
      <c r="BB5" s="3" t="s">
        <v>83</v>
      </c>
      <c r="BC5" s="3" t="s">
        <v>83</v>
      </c>
      <c r="BD5" s="3" t="s">
        <v>83</v>
      </c>
      <c r="BE5" s="3">
        <v>24887</v>
      </c>
      <c r="BF5" s="3" t="s">
        <v>83</v>
      </c>
      <c r="BG5" s="3">
        <v>90465</v>
      </c>
      <c r="BH5" s="3" t="s">
        <v>83</v>
      </c>
      <c r="BI5" s="3" t="s">
        <v>83</v>
      </c>
      <c r="BJ5" s="3" t="s">
        <v>83</v>
      </c>
      <c r="BK5" s="3">
        <v>133847</v>
      </c>
      <c r="BL5" s="3" t="s">
        <v>83</v>
      </c>
      <c r="BM5" s="3" t="s">
        <v>83</v>
      </c>
      <c r="BN5" s="3" t="s">
        <v>83</v>
      </c>
      <c r="BO5" s="3">
        <v>46801</v>
      </c>
      <c r="BP5" s="3" t="s">
        <v>83</v>
      </c>
      <c r="BQ5" s="3" t="s">
        <v>83</v>
      </c>
      <c r="BR5" s="3" t="s">
        <v>83</v>
      </c>
      <c r="BS5" s="3" t="s">
        <v>83</v>
      </c>
      <c r="BT5" s="3" t="s">
        <v>83</v>
      </c>
      <c r="BU5" s="3">
        <v>6481</v>
      </c>
      <c r="BV5" s="3" t="s">
        <v>83</v>
      </c>
      <c r="BW5" s="3">
        <v>128966</v>
      </c>
      <c r="BX5" s="3" t="s">
        <v>83</v>
      </c>
      <c r="BY5" s="3" t="s">
        <v>83</v>
      </c>
      <c r="BZ5" s="3" t="s">
        <v>83</v>
      </c>
      <c r="CA5" s="3">
        <v>45681</v>
      </c>
      <c r="CB5" s="3" t="s">
        <v>83</v>
      </c>
      <c r="CC5" s="3" t="s">
        <v>83</v>
      </c>
    </row>
    <row r="6" spans="1:81" ht="15.75" x14ac:dyDescent="0.25">
      <c r="A6" s="2" t="s">
        <v>87</v>
      </c>
      <c r="B6" s="3" t="s">
        <v>83</v>
      </c>
      <c r="C6" s="3">
        <v>9522</v>
      </c>
      <c r="D6" s="3" t="s">
        <v>83</v>
      </c>
      <c r="E6" s="3" t="s">
        <v>83</v>
      </c>
      <c r="F6" s="3" t="s">
        <v>83</v>
      </c>
      <c r="G6" s="3" t="s">
        <v>83</v>
      </c>
      <c r="H6" s="3" t="s">
        <v>83</v>
      </c>
      <c r="I6" s="3">
        <v>21950</v>
      </c>
      <c r="J6" s="3" t="s">
        <v>83</v>
      </c>
      <c r="K6" s="3" t="s">
        <v>83</v>
      </c>
      <c r="L6" s="3" t="s">
        <v>83</v>
      </c>
      <c r="M6" s="3">
        <v>13235</v>
      </c>
      <c r="N6" s="3" t="s">
        <v>83</v>
      </c>
      <c r="O6" s="3" t="s">
        <v>83</v>
      </c>
      <c r="P6" s="3" t="s">
        <v>83</v>
      </c>
      <c r="Q6" s="3">
        <v>6231</v>
      </c>
      <c r="R6" s="3" t="s">
        <v>83</v>
      </c>
      <c r="S6" s="3">
        <v>26712</v>
      </c>
      <c r="T6" s="3" t="s">
        <v>83</v>
      </c>
      <c r="U6" s="3" t="s">
        <v>83</v>
      </c>
      <c r="V6" s="3" t="s">
        <v>83</v>
      </c>
      <c r="W6" s="3">
        <v>4250</v>
      </c>
      <c r="X6" s="3" t="s">
        <v>83</v>
      </c>
      <c r="Y6" s="3" t="s">
        <v>83</v>
      </c>
      <c r="Z6" s="3" t="s">
        <v>83</v>
      </c>
      <c r="AA6" s="3">
        <v>3511</v>
      </c>
      <c r="AB6" s="3" t="s">
        <v>83</v>
      </c>
      <c r="AC6" s="3" t="s">
        <v>83</v>
      </c>
      <c r="AD6" s="3" t="s">
        <v>83</v>
      </c>
      <c r="AE6" s="3">
        <v>19375</v>
      </c>
      <c r="AF6" s="3" t="s">
        <v>83</v>
      </c>
      <c r="AG6" s="3" t="s">
        <v>83</v>
      </c>
      <c r="AH6" s="3" t="s">
        <v>83</v>
      </c>
      <c r="AI6" s="3" t="s">
        <v>83</v>
      </c>
      <c r="AJ6" s="3" t="s">
        <v>83</v>
      </c>
      <c r="AK6" s="3">
        <v>7629</v>
      </c>
      <c r="AL6" s="3">
        <v>2010</v>
      </c>
      <c r="AM6" s="3">
        <v>1477</v>
      </c>
      <c r="AN6" s="3">
        <v>4169</v>
      </c>
      <c r="AO6" s="3" t="s">
        <v>83</v>
      </c>
      <c r="AP6" s="3" t="s">
        <v>83</v>
      </c>
      <c r="AQ6" s="3">
        <v>17692</v>
      </c>
      <c r="AR6" s="3" t="s">
        <v>83</v>
      </c>
      <c r="AS6" s="3" t="s">
        <v>83</v>
      </c>
      <c r="AT6" s="3" t="s">
        <v>83</v>
      </c>
      <c r="AU6" s="3" t="s">
        <v>83</v>
      </c>
      <c r="AV6" s="3" t="s">
        <v>83</v>
      </c>
      <c r="AW6" s="3">
        <v>18458</v>
      </c>
      <c r="AX6" s="3" t="s">
        <v>83</v>
      </c>
      <c r="AY6" s="3">
        <v>15217</v>
      </c>
      <c r="AZ6" s="3" t="s">
        <v>83</v>
      </c>
      <c r="BA6" s="3" t="s">
        <v>83</v>
      </c>
      <c r="BB6" s="3" t="s">
        <v>83</v>
      </c>
      <c r="BC6" s="3" t="s">
        <v>83</v>
      </c>
      <c r="BD6" s="3" t="s">
        <v>83</v>
      </c>
      <c r="BE6" s="3">
        <v>2322</v>
      </c>
      <c r="BF6" s="3" t="s">
        <v>83</v>
      </c>
      <c r="BG6" s="3">
        <v>9713</v>
      </c>
      <c r="BH6" s="3" t="s">
        <v>83</v>
      </c>
      <c r="BI6" s="3" t="s">
        <v>83</v>
      </c>
      <c r="BJ6" s="3" t="s">
        <v>83</v>
      </c>
      <c r="BK6" s="3">
        <v>17333</v>
      </c>
      <c r="BL6" s="3" t="s">
        <v>83</v>
      </c>
      <c r="BM6" s="3" t="s">
        <v>83</v>
      </c>
      <c r="BN6" s="3" t="s">
        <v>83</v>
      </c>
      <c r="BO6" s="3">
        <v>3886</v>
      </c>
      <c r="BP6" s="3" t="s">
        <v>83</v>
      </c>
      <c r="BQ6" s="3" t="s">
        <v>83</v>
      </c>
      <c r="BR6" s="3" t="s">
        <v>83</v>
      </c>
      <c r="BS6" s="3" t="s">
        <v>83</v>
      </c>
      <c r="BT6" s="3" t="s">
        <v>83</v>
      </c>
      <c r="BU6" s="3">
        <v>8343</v>
      </c>
      <c r="BV6" s="3" t="s">
        <v>83</v>
      </c>
      <c r="BW6" s="3">
        <v>8809</v>
      </c>
      <c r="BX6" s="3" t="s">
        <v>83</v>
      </c>
      <c r="BY6" s="3" t="s">
        <v>83</v>
      </c>
      <c r="BZ6" s="3" t="s">
        <v>83</v>
      </c>
      <c r="CA6" s="3">
        <v>6417</v>
      </c>
      <c r="CB6" s="3" t="s">
        <v>83</v>
      </c>
      <c r="CC6" s="3" t="s">
        <v>83</v>
      </c>
    </row>
    <row r="7" spans="1:81" ht="15.75" x14ac:dyDescent="0.25">
      <c r="A7" s="2" t="s">
        <v>88</v>
      </c>
      <c r="B7" s="3" t="s">
        <v>83</v>
      </c>
      <c r="C7" s="3">
        <v>465</v>
      </c>
      <c r="D7" s="3">
        <v>739</v>
      </c>
      <c r="E7" s="3">
        <v>798</v>
      </c>
      <c r="F7" s="3">
        <v>162</v>
      </c>
      <c r="G7" s="3">
        <v>265</v>
      </c>
      <c r="H7" s="3">
        <v>487</v>
      </c>
      <c r="I7" s="3" t="s">
        <v>83</v>
      </c>
      <c r="J7" s="3">
        <v>1397</v>
      </c>
      <c r="K7" s="3">
        <v>749</v>
      </c>
      <c r="L7" s="3">
        <v>760</v>
      </c>
      <c r="M7" s="3" t="s">
        <v>83</v>
      </c>
      <c r="N7" s="3" t="s">
        <v>83</v>
      </c>
      <c r="O7" s="3" t="s">
        <v>83</v>
      </c>
      <c r="P7" s="3" t="s">
        <v>83</v>
      </c>
      <c r="Q7" s="3" t="s">
        <v>83</v>
      </c>
      <c r="R7" s="3" t="s">
        <v>83</v>
      </c>
      <c r="S7" s="3" t="s">
        <v>83</v>
      </c>
      <c r="T7" s="3" t="s">
        <v>83</v>
      </c>
      <c r="U7" s="3" t="s">
        <v>83</v>
      </c>
      <c r="V7" s="3">
        <v>2188</v>
      </c>
      <c r="W7" s="3">
        <v>1511</v>
      </c>
      <c r="X7" s="3">
        <v>1585</v>
      </c>
      <c r="Y7" s="3">
        <v>1962</v>
      </c>
      <c r="Z7" s="3">
        <v>763</v>
      </c>
      <c r="AA7" s="3" t="s">
        <v>83</v>
      </c>
      <c r="AB7" s="3">
        <v>924</v>
      </c>
      <c r="AC7" s="3">
        <v>845</v>
      </c>
      <c r="AD7" s="3" t="s">
        <v>83</v>
      </c>
      <c r="AE7" s="3" t="s">
        <v>83</v>
      </c>
      <c r="AF7" s="3" t="s">
        <v>83</v>
      </c>
      <c r="AG7" s="3" t="s">
        <v>83</v>
      </c>
      <c r="AH7" s="3" t="s">
        <v>83</v>
      </c>
      <c r="AI7" s="3" t="s">
        <v>83</v>
      </c>
      <c r="AJ7" s="3" t="s">
        <v>83</v>
      </c>
      <c r="AK7" s="3">
        <v>48058</v>
      </c>
      <c r="AL7" s="3" t="s">
        <v>83</v>
      </c>
      <c r="AM7" s="3" t="s">
        <v>83</v>
      </c>
      <c r="AN7" s="3" t="s">
        <v>83</v>
      </c>
      <c r="AO7" s="3" t="s">
        <v>83</v>
      </c>
      <c r="AP7" s="3" t="s">
        <v>83</v>
      </c>
      <c r="AQ7" s="3" t="s">
        <v>83</v>
      </c>
      <c r="AR7" s="3" t="s">
        <v>83</v>
      </c>
      <c r="AS7" s="3" t="s">
        <v>83</v>
      </c>
      <c r="AT7" s="3" t="s">
        <v>83</v>
      </c>
      <c r="AU7" s="3" t="s">
        <v>83</v>
      </c>
      <c r="AV7" s="3" t="s">
        <v>83</v>
      </c>
      <c r="AW7" s="3" t="s">
        <v>83</v>
      </c>
      <c r="AX7" s="3" t="s">
        <v>83</v>
      </c>
      <c r="AY7" s="3" t="s">
        <v>83</v>
      </c>
      <c r="AZ7" s="3" t="s">
        <v>83</v>
      </c>
      <c r="BA7" s="3" t="s">
        <v>83</v>
      </c>
      <c r="BB7" s="3" t="s">
        <v>83</v>
      </c>
      <c r="BC7" s="3" t="s">
        <v>83</v>
      </c>
      <c r="BD7" s="3" t="s">
        <v>83</v>
      </c>
      <c r="BE7" s="3" t="s">
        <v>83</v>
      </c>
      <c r="BF7" s="3" t="s">
        <v>83</v>
      </c>
      <c r="BG7" s="3" t="s">
        <v>83</v>
      </c>
      <c r="BH7" s="3" t="s">
        <v>83</v>
      </c>
      <c r="BI7" s="3" t="s">
        <v>83</v>
      </c>
      <c r="BJ7" s="3" t="s">
        <v>83</v>
      </c>
      <c r="BK7" s="3"/>
      <c r="BL7" s="3" t="s">
        <v>83</v>
      </c>
      <c r="BM7" s="3" t="s">
        <v>83</v>
      </c>
      <c r="BN7" s="3" t="s">
        <v>83</v>
      </c>
      <c r="BO7" s="3"/>
      <c r="BP7" s="3" t="s">
        <v>83</v>
      </c>
      <c r="BQ7" s="3" t="s">
        <v>83</v>
      </c>
      <c r="BR7" s="3" t="s">
        <v>83</v>
      </c>
      <c r="BS7" s="3" t="s">
        <v>83</v>
      </c>
      <c r="BT7" s="3" t="s">
        <v>83</v>
      </c>
      <c r="BU7" s="3"/>
      <c r="BV7" s="3" t="s">
        <v>83</v>
      </c>
      <c r="BW7" s="3"/>
      <c r="BX7" s="3" t="s">
        <v>83</v>
      </c>
      <c r="BY7" s="3" t="s">
        <v>83</v>
      </c>
      <c r="BZ7" s="3">
        <v>784</v>
      </c>
      <c r="CA7" s="3">
        <v>1137</v>
      </c>
      <c r="CB7" s="3" t="s">
        <v>83</v>
      </c>
      <c r="CC7" s="3">
        <v>340</v>
      </c>
    </row>
    <row r="8" spans="1:81" ht="15.75" x14ac:dyDescent="0.25">
      <c r="A8" s="2" t="s">
        <v>89</v>
      </c>
      <c r="B8" s="3" t="s">
        <v>83</v>
      </c>
      <c r="C8" s="3">
        <v>8299</v>
      </c>
      <c r="D8" s="3" t="s">
        <v>83</v>
      </c>
      <c r="E8" s="3" t="s">
        <v>83</v>
      </c>
      <c r="F8" s="3" t="s">
        <v>83</v>
      </c>
      <c r="G8" s="3" t="s">
        <v>83</v>
      </c>
      <c r="H8" s="3" t="s">
        <v>83</v>
      </c>
      <c r="I8" s="3">
        <v>149406</v>
      </c>
      <c r="J8" s="3" t="s">
        <v>83</v>
      </c>
      <c r="K8" s="3" t="s">
        <v>83</v>
      </c>
      <c r="L8" s="3" t="s">
        <v>83</v>
      </c>
      <c r="M8" s="3">
        <v>82944</v>
      </c>
      <c r="N8" s="3" t="s">
        <v>83</v>
      </c>
      <c r="O8" s="3" t="s">
        <v>83</v>
      </c>
      <c r="P8" s="3" t="s">
        <v>83</v>
      </c>
      <c r="Q8" s="3">
        <v>44380</v>
      </c>
      <c r="R8" s="3" t="s">
        <v>83</v>
      </c>
      <c r="S8" s="3">
        <v>141105</v>
      </c>
      <c r="T8" s="3" t="s">
        <v>83</v>
      </c>
      <c r="U8" s="3" t="s">
        <v>83</v>
      </c>
      <c r="V8" s="3" t="s">
        <v>83</v>
      </c>
      <c r="W8" s="3">
        <v>27688</v>
      </c>
      <c r="X8" s="3" t="s">
        <v>83</v>
      </c>
      <c r="Y8" s="3" t="s">
        <v>83</v>
      </c>
      <c r="Z8" s="3" t="s">
        <v>83</v>
      </c>
      <c r="AA8" s="3">
        <v>27304</v>
      </c>
      <c r="AB8" s="3" t="s">
        <v>83</v>
      </c>
      <c r="AC8" s="3" t="s">
        <v>83</v>
      </c>
      <c r="AD8" s="3"/>
      <c r="AE8" s="3">
        <v>79411</v>
      </c>
      <c r="AF8" s="3"/>
      <c r="AG8" s="3"/>
      <c r="AH8" s="3">
        <v>2423</v>
      </c>
      <c r="AI8" s="3">
        <v>3830</v>
      </c>
      <c r="AJ8" s="3">
        <v>2123</v>
      </c>
      <c r="AK8" s="3" t="s">
        <v>83</v>
      </c>
      <c r="AL8" s="3" t="s">
        <v>83</v>
      </c>
      <c r="AM8" s="3" t="s">
        <v>83</v>
      </c>
      <c r="AN8" s="3" t="s">
        <v>83</v>
      </c>
      <c r="AO8" s="3">
        <v>1337</v>
      </c>
      <c r="AP8" s="3" t="s">
        <v>83</v>
      </c>
      <c r="AQ8" s="3">
        <v>100468</v>
      </c>
      <c r="AR8" s="3" t="s">
        <v>83</v>
      </c>
      <c r="AS8" s="3" t="s">
        <v>83</v>
      </c>
      <c r="AT8" s="3" t="s">
        <v>83</v>
      </c>
      <c r="AU8" s="3" t="s">
        <v>83</v>
      </c>
      <c r="AV8" s="3" t="s">
        <v>83</v>
      </c>
      <c r="AW8" s="3">
        <v>80611</v>
      </c>
      <c r="AX8" s="3" t="s">
        <v>83</v>
      </c>
      <c r="AY8" s="3">
        <v>149510</v>
      </c>
      <c r="AZ8" s="3" t="s">
        <v>83</v>
      </c>
      <c r="BA8" s="3" t="s">
        <v>83</v>
      </c>
      <c r="BB8" s="3" t="s">
        <v>83</v>
      </c>
      <c r="BC8" s="3" t="s">
        <v>83</v>
      </c>
      <c r="BD8" s="3" t="s">
        <v>83</v>
      </c>
      <c r="BE8" s="3">
        <v>14965</v>
      </c>
      <c r="BF8" s="3" t="s">
        <v>83</v>
      </c>
      <c r="BG8" s="3">
        <v>52138</v>
      </c>
      <c r="BH8" s="3" t="s">
        <v>83</v>
      </c>
      <c r="BI8" s="3" t="s">
        <v>83</v>
      </c>
      <c r="BJ8" s="3" t="s">
        <v>83</v>
      </c>
      <c r="BK8" s="3">
        <v>95820</v>
      </c>
      <c r="BL8" s="3" t="s">
        <v>83</v>
      </c>
      <c r="BM8" s="3" t="s">
        <v>83</v>
      </c>
      <c r="BN8" s="3" t="s">
        <v>83</v>
      </c>
      <c r="BO8" s="3">
        <v>27385</v>
      </c>
      <c r="BP8" s="3" t="s">
        <v>83</v>
      </c>
      <c r="BQ8" s="3" t="s">
        <v>83</v>
      </c>
      <c r="BR8" s="3" t="s">
        <v>83</v>
      </c>
      <c r="BS8" s="3" t="s">
        <v>83</v>
      </c>
      <c r="BT8" s="3" t="s">
        <v>83</v>
      </c>
      <c r="BU8" s="3">
        <v>41723</v>
      </c>
      <c r="BV8" s="3" t="s">
        <v>83</v>
      </c>
      <c r="BW8" s="3">
        <v>65514</v>
      </c>
      <c r="BX8" s="3" t="s">
        <v>83</v>
      </c>
      <c r="BY8" s="3" t="s">
        <v>83</v>
      </c>
      <c r="BZ8" s="3" t="s">
        <v>83</v>
      </c>
      <c r="CA8" s="3">
        <v>39245</v>
      </c>
      <c r="CB8" s="3" t="s">
        <v>83</v>
      </c>
      <c r="CC8" s="3" t="s">
        <v>83</v>
      </c>
    </row>
    <row r="9" spans="1:81" ht="15.75" x14ac:dyDescent="0.25">
      <c r="A9" s="2" t="s">
        <v>90</v>
      </c>
      <c r="B9" s="3">
        <v>1726</v>
      </c>
      <c r="C9" s="3">
        <v>2003</v>
      </c>
      <c r="D9" s="3">
        <v>3204</v>
      </c>
      <c r="E9" s="3">
        <v>2368</v>
      </c>
      <c r="F9" s="3">
        <v>7478</v>
      </c>
      <c r="G9" s="3">
        <v>7630</v>
      </c>
      <c r="H9" s="3">
        <v>5484</v>
      </c>
      <c r="I9" s="3">
        <v>5923</v>
      </c>
      <c r="J9" s="3">
        <v>2784</v>
      </c>
      <c r="K9" s="3">
        <v>8400</v>
      </c>
      <c r="L9" s="3">
        <v>8483</v>
      </c>
      <c r="M9" s="3">
        <v>4298</v>
      </c>
      <c r="N9" s="3">
        <v>4016</v>
      </c>
      <c r="O9" s="3">
        <v>4094</v>
      </c>
      <c r="P9" s="3">
        <v>7893</v>
      </c>
      <c r="Q9" s="3">
        <v>11561</v>
      </c>
      <c r="R9" s="3">
        <v>2313</v>
      </c>
      <c r="S9" s="3">
        <v>8495</v>
      </c>
      <c r="T9" s="3">
        <v>1228</v>
      </c>
      <c r="U9" s="3">
        <v>1504</v>
      </c>
      <c r="V9" s="3">
        <v>842</v>
      </c>
      <c r="W9" s="3">
        <v>1572</v>
      </c>
      <c r="X9" s="3">
        <v>1699</v>
      </c>
      <c r="Y9" s="3">
        <v>820</v>
      </c>
      <c r="Z9" s="3">
        <v>1316</v>
      </c>
      <c r="AA9" s="3">
        <v>555</v>
      </c>
      <c r="AB9" s="3">
        <v>2218</v>
      </c>
      <c r="AC9" s="3">
        <v>5378</v>
      </c>
      <c r="AD9" s="3">
        <v>6704</v>
      </c>
      <c r="AE9" s="3">
        <v>10668</v>
      </c>
      <c r="AF9" s="3">
        <v>5297</v>
      </c>
      <c r="AG9" s="3">
        <v>5721</v>
      </c>
      <c r="AH9" s="3">
        <v>8578</v>
      </c>
      <c r="AI9" s="3">
        <v>4380</v>
      </c>
      <c r="AJ9" s="3">
        <v>7512</v>
      </c>
      <c r="AK9" s="3">
        <v>2075</v>
      </c>
      <c r="AL9" s="3">
        <v>6180</v>
      </c>
      <c r="AM9" s="3">
        <v>3506</v>
      </c>
      <c r="AN9" s="3">
        <v>10128</v>
      </c>
      <c r="AO9" s="3">
        <v>2605</v>
      </c>
      <c r="AP9" s="3">
        <v>4317</v>
      </c>
      <c r="AQ9" s="3">
        <v>12706</v>
      </c>
      <c r="AR9" s="3">
        <v>9052</v>
      </c>
      <c r="AS9" s="3">
        <v>4784</v>
      </c>
      <c r="AT9" s="3">
        <v>7642</v>
      </c>
      <c r="AU9" s="3">
        <v>2441</v>
      </c>
      <c r="AV9" s="3">
        <v>2318</v>
      </c>
      <c r="AW9" s="3">
        <v>1516</v>
      </c>
      <c r="AX9" s="3">
        <v>6532</v>
      </c>
      <c r="AY9" s="3">
        <v>1303</v>
      </c>
      <c r="AZ9" s="3">
        <v>7226</v>
      </c>
      <c r="BA9" s="3">
        <v>8990</v>
      </c>
      <c r="BB9" s="3">
        <v>11611</v>
      </c>
      <c r="BC9" s="3">
        <v>4129</v>
      </c>
      <c r="BD9" s="3">
        <v>9260</v>
      </c>
      <c r="BE9" s="3">
        <v>7609</v>
      </c>
      <c r="BF9" s="3">
        <v>5645</v>
      </c>
      <c r="BG9" s="3">
        <v>7710</v>
      </c>
      <c r="BH9" s="3">
        <v>6358</v>
      </c>
      <c r="BI9" s="3">
        <v>6790</v>
      </c>
      <c r="BJ9" s="3">
        <v>9383</v>
      </c>
      <c r="BK9" s="3">
        <v>6546</v>
      </c>
      <c r="BL9" s="3">
        <v>7811</v>
      </c>
      <c r="BM9" s="3">
        <v>4761</v>
      </c>
      <c r="BN9" s="3">
        <v>3669</v>
      </c>
      <c r="BO9" s="3">
        <v>2083</v>
      </c>
      <c r="BP9" s="3">
        <v>4763</v>
      </c>
      <c r="BQ9" s="3">
        <v>3620</v>
      </c>
      <c r="BR9" s="3" t="s">
        <v>83</v>
      </c>
      <c r="BS9" s="3" t="s">
        <v>83</v>
      </c>
      <c r="BT9" s="3" t="s">
        <v>83</v>
      </c>
      <c r="BU9" s="3" t="s">
        <v>83</v>
      </c>
      <c r="BV9" s="3">
        <v>3795</v>
      </c>
      <c r="BW9" s="3">
        <v>3530</v>
      </c>
      <c r="BX9" s="3">
        <v>4194</v>
      </c>
      <c r="BY9" s="3">
        <v>4402</v>
      </c>
      <c r="BZ9" s="3">
        <v>5983</v>
      </c>
      <c r="CA9" s="3">
        <v>3405</v>
      </c>
      <c r="CB9" s="3">
        <v>11019</v>
      </c>
      <c r="CC9" s="3">
        <v>9209</v>
      </c>
    </row>
    <row r="10" spans="1:81" ht="15.75" x14ac:dyDescent="0.25">
      <c r="A10" s="2" t="s">
        <v>91</v>
      </c>
      <c r="B10" s="3">
        <v>5339</v>
      </c>
      <c r="C10" s="3">
        <v>5327</v>
      </c>
      <c r="D10" s="3">
        <v>3936</v>
      </c>
      <c r="E10" s="3">
        <v>3735</v>
      </c>
      <c r="F10" s="3">
        <v>49594</v>
      </c>
      <c r="G10" s="3">
        <v>13007</v>
      </c>
      <c r="H10" s="3">
        <v>25603</v>
      </c>
      <c r="I10" s="3">
        <v>84869</v>
      </c>
      <c r="J10" s="3">
        <v>5400</v>
      </c>
      <c r="K10" s="3">
        <v>9817</v>
      </c>
      <c r="L10" s="3">
        <v>8615</v>
      </c>
      <c r="M10" s="3">
        <v>5850</v>
      </c>
      <c r="N10" s="3">
        <v>2444</v>
      </c>
      <c r="O10" s="3">
        <v>2884</v>
      </c>
      <c r="P10" s="3">
        <v>2931</v>
      </c>
      <c r="Q10" s="3">
        <v>18484</v>
      </c>
      <c r="R10" s="3">
        <v>761</v>
      </c>
      <c r="S10" s="3">
        <v>4242</v>
      </c>
      <c r="T10" s="3">
        <v>979</v>
      </c>
      <c r="U10" s="3">
        <v>1297</v>
      </c>
      <c r="V10" s="3">
        <v>2234</v>
      </c>
      <c r="W10" s="3">
        <v>2691</v>
      </c>
      <c r="X10" s="3">
        <v>1459</v>
      </c>
      <c r="Y10" s="3">
        <v>1789</v>
      </c>
      <c r="Z10" s="3" t="s">
        <v>83</v>
      </c>
      <c r="AA10" s="3">
        <v>170</v>
      </c>
      <c r="AB10" s="3">
        <v>791</v>
      </c>
      <c r="AC10" s="3">
        <v>953</v>
      </c>
      <c r="AD10" s="3">
        <v>23203</v>
      </c>
      <c r="AE10" s="3">
        <v>7508</v>
      </c>
      <c r="AF10" s="3">
        <v>8642</v>
      </c>
      <c r="AG10" s="3">
        <v>25973</v>
      </c>
      <c r="AH10" s="3" t="s">
        <v>83</v>
      </c>
      <c r="AI10" s="3" t="s">
        <v>83</v>
      </c>
      <c r="AJ10" s="3" t="s">
        <v>83</v>
      </c>
      <c r="AK10" s="3">
        <v>3252</v>
      </c>
      <c r="AL10" s="3">
        <v>2202</v>
      </c>
      <c r="AM10" s="3">
        <v>4088</v>
      </c>
      <c r="AN10" s="3">
        <v>11081</v>
      </c>
      <c r="AO10" s="3">
        <v>3607</v>
      </c>
      <c r="AP10" s="3">
        <v>2577</v>
      </c>
      <c r="AQ10" s="3">
        <v>2665</v>
      </c>
      <c r="AR10" s="3">
        <v>2281</v>
      </c>
      <c r="AS10" s="3">
        <v>2551</v>
      </c>
      <c r="AT10" s="3">
        <v>2276</v>
      </c>
      <c r="AU10" s="3">
        <v>4544</v>
      </c>
      <c r="AV10" s="3">
        <v>4398</v>
      </c>
      <c r="AW10" s="3">
        <v>5134</v>
      </c>
      <c r="AX10" s="3">
        <v>2966</v>
      </c>
      <c r="AY10" s="3">
        <v>5496</v>
      </c>
      <c r="AZ10" s="3">
        <v>5426</v>
      </c>
      <c r="BA10" s="3" t="s">
        <v>83</v>
      </c>
      <c r="BB10" s="3">
        <v>2009</v>
      </c>
      <c r="BC10" s="3">
        <v>2061</v>
      </c>
      <c r="BD10" s="3">
        <v>3074</v>
      </c>
      <c r="BE10" s="3">
        <v>7220</v>
      </c>
      <c r="BF10" s="3" t="s">
        <v>83</v>
      </c>
      <c r="BG10" s="3">
        <v>2743</v>
      </c>
      <c r="BH10" s="3">
        <v>1268</v>
      </c>
      <c r="BI10" s="3">
        <v>2206</v>
      </c>
      <c r="BJ10" s="3">
        <v>3444</v>
      </c>
      <c r="BK10" s="3">
        <v>3438</v>
      </c>
      <c r="BL10" s="3" t="s">
        <v>83</v>
      </c>
      <c r="BM10" s="3">
        <v>3759</v>
      </c>
      <c r="BN10" s="3">
        <v>4786</v>
      </c>
      <c r="BO10" s="3">
        <v>5184</v>
      </c>
      <c r="BP10" s="3">
        <v>2542</v>
      </c>
      <c r="BQ10" s="3">
        <v>2434</v>
      </c>
      <c r="BR10" s="3">
        <v>137</v>
      </c>
      <c r="BS10" s="3">
        <v>2802</v>
      </c>
      <c r="BT10" s="3">
        <v>760</v>
      </c>
      <c r="BU10" s="3">
        <v>2813</v>
      </c>
      <c r="BV10" s="3">
        <v>4893</v>
      </c>
      <c r="BW10" s="3">
        <v>7331</v>
      </c>
      <c r="BX10" s="3">
        <v>6461</v>
      </c>
      <c r="BY10" s="3">
        <v>3850</v>
      </c>
      <c r="BZ10" s="3">
        <v>14499</v>
      </c>
      <c r="CA10" s="3">
        <v>12102</v>
      </c>
      <c r="CB10" s="3">
        <v>8095</v>
      </c>
      <c r="CC10" s="3">
        <v>6659</v>
      </c>
    </row>
    <row r="11" spans="1:81" ht="15.75" x14ac:dyDescent="0.25">
      <c r="A11" s="2" t="s">
        <v>92</v>
      </c>
      <c r="B11" s="3" t="s">
        <v>83</v>
      </c>
      <c r="C11" s="3">
        <v>14624</v>
      </c>
      <c r="D11" s="3" t="s">
        <v>83</v>
      </c>
      <c r="E11" s="3" t="s">
        <v>83</v>
      </c>
      <c r="F11" s="3" t="s">
        <v>83</v>
      </c>
      <c r="G11" s="3" t="s">
        <v>83</v>
      </c>
      <c r="H11" s="3" t="s">
        <v>83</v>
      </c>
      <c r="I11" s="3">
        <v>38666</v>
      </c>
      <c r="J11" s="3" t="s">
        <v>83</v>
      </c>
      <c r="K11" s="3" t="s">
        <v>83</v>
      </c>
      <c r="L11" s="3" t="s">
        <v>83</v>
      </c>
      <c r="M11" s="3">
        <v>12208</v>
      </c>
      <c r="N11" s="3" t="s">
        <v>83</v>
      </c>
      <c r="O11" s="3" t="s">
        <v>83</v>
      </c>
      <c r="P11" s="3" t="s">
        <v>83</v>
      </c>
      <c r="Q11" s="3">
        <v>22118</v>
      </c>
      <c r="R11" s="3" t="s">
        <v>83</v>
      </c>
      <c r="S11" s="3">
        <v>15159</v>
      </c>
      <c r="T11" s="3" t="s">
        <v>83</v>
      </c>
      <c r="U11" s="3" t="s">
        <v>83</v>
      </c>
      <c r="V11" s="3" t="s">
        <v>83</v>
      </c>
      <c r="W11" s="3">
        <v>22007</v>
      </c>
      <c r="X11" s="3" t="s">
        <v>83</v>
      </c>
      <c r="Y11" s="3" t="s">
        <v>83</v>
      </c>
      <c r="Z11" s="3" t="s">
        <v>83</v>
      </c>
      <c r="AA11" s="3">
        <v>14982</v>
      </c>
      <c r="AB11" s="3" t="s">
        <v>83</v>
      </c>
      <c r="AC11" s="3" t="s">
        <v>83</v>
      </c>
      <c r="AD11" s="3" t="s">
        <v>83</v>
      </c>
      <c r="AE11" s="3">
        <v>49623</v>
      </c>
      <c r="AF11" s="3" t="s">
        <v>83</v>
      </c>
      <c r="AG11" s="3" t="s">
        <v>83</v>
      </c>
      <c r="AH11" s="3" t="s">
        <v>83</v>
      </c>
      <c r="AI11" s="3" t="s">
        <v>83</v>
      </c>
      <c r="AJ11" s="3" t="s">
        <v>83</v>
      </c>
      <c r="AK11" s="3">
        <v>25531</v>
      </c>
      <c r="AL11" s="3" t="s">
        <v>83</v>
      </c>
      <c r="AM11" s="3" t="s">
        <v>83</v>
      </c>
      <c r="AN11" s="3" t="s">
        <v>83</v>
      </c>
      <c r="AO11" s="3">
        <v>31706</v>
      </c>
      <c r="AP11" s="3" t="s">
        <v>83</v>
      </c>
      <c r="AQ11" s="3">
        <v>10114</v>
      </c>
      <c r="AR11" s="3" t="s">
        <v>83</v>
      </c>
      <c r="AS11" s="3" t="s">
        <v>83</v>
      </c>
      <c r="AT11" s="3"/>
      <c r="AU11" s="3">
        <v>12669</v>
      </c>
      <c r="AV11" s="3"/>
      <c r="AW11" s="3">
        <v>59956</v>
      </c>
      <c r="AX11" s="3" t="s">
        <v>83</v>
      </c>
      <c r="AY11" s="3">
        <v>26865</v>
      </c>
      <c r="AZ11" s="3" t="s">
        <v>83</v>
      </c>
      <c r="BA11" s="3" t="s">
        <v>83</v>
      </c>
      <c r="BB11" s="3" t="s">
        <v>83</v>
      </c>
      <c r="BC11" s="3" t="s">
        <v>83</v>
      </c>
      <c r="BD11" s="3" t="s">
        <v>83</v>
      </c>
      <c r="BE11" s="3">
        <v>8857</v>
      </c>
      <c r="BF11" s="3" t="s">
        <v>83</v>
      </c>
      <c r="BG11" s="3">
        <v>6238</v>
      </c>
      <c r="BH11" s="3" t="s">
        <v>83</v>
      </c>
      <c r="BI11" s="3" t="s">
        <v>83</v>
      </c>
      <c r="BJ11" s="3" t="s">
        <v>83</v>
      </c>
      <c r="BK11" s="3">
        <v>8873</v>
      </c>
      <c r="BL11" s="3" t="s">
        <v>83</v>
      </c>
      <c r="BM11" s="3" t="s">
        <v>83</v>
      </c>
      <c r="BN11" s="3" t="s">
        <v>83</v>
      </c>
      <c r="BO11" s="3">
        <v>30928</v>
      </c>
      <c r="BP11" s="3" t="s">
        <v>83</v>
      </c>
      <c r="BQ11" s="3" t="s">
        <v>83</v>
      </c>
      <c r="BR11" s="3" t="s">
        <v>83</v>
      </c>
      <c r="BS11" s="3" t="s">
        <v>83</v>
      </c>
      <c r="BT11" s="3" t="s">
        <v>83</v>
      </c>
      <c r="BU11" s="3">
        <v>3373</v>
      </c>
      <c r="BV11" s="3"/>
      <c r="BW11" s="3">
        <v>14180</v>
      </c>
      <c r="BX11" s="3" t="s">
        <v>83</v>
      </c>
      <c r="BY11" s="3" t="s">
        <v>83</v>
      </c>
      <c r="BZ11" s="3" t="s">
        <v>83</v>
      </c>
      <c r="CA11" s="3">
        <v>24953</v>
      </c>
      <c r="CB11" s="3" t="s">
        <v>83</v>
      </c>
      <c r="CC11" s="3" t="s">
        <v>83</v>
      </c>
    </row>
    <row r="12" spans="1:81" ht="15.75" x14ac:dyDescent="0.25">
      <c r="A12" s="2" t="s">
        <v>93</v>
      </c>
      <c r="B12" s="3" t="s">
        <v>83</v>
      </c>
      <c r="C12" s="3">
        <v>22716</v>
      </c>
      <c r="D12" s="3" t="s">
        <v>83</v>
      </c>
      <c r="E12" s="3" t="s">
        <v>83</v>
      </c>
      <c r="F12" s="3" t="s">
        <v>83</v>
      </c>
      <c r="G12" s="3" t="s">
        <v>83</v>
      </c>
      <c r="H12" s="3" t="s">
        <v>83</v>
      </c>
      <c r="I12" s="3">
        <v>6292</v>
      </c>
      <c r="J12" s="3" t="s">
        <v>83</v>
      </c>
      <c r="K12" s="3" t="s">
        <v>83</v>
      </c>
      <c r="L12" s="3" t="s">
        <v>83</v>
      </c>
      <c r="M12" s="3">
        <v>7243</v>
      </c>
      <c r="N12" s="3" t="s">
        <v>83</v>
      </c>
      <c r="O12" s="3" t="s">
        <v>83</v>
      </c>
      <c r="P12" s="3" t="s">
        <v>83</v>
      </c>
      <c r="Q12" s="3">
        <v>2566</v>
      </c>
      <c r="R12" s="3" t="s">
        <v>83</v>
      </c>
      <c r="S12" s="3">
        <v>9172</v>
      </c>
      <c r="T12" s="3" t="s">
        <v>83</v>
      </c>
      <c r="U12" s="3" t="s">
        <v>83</v>
      </c>
      <c r="V12" s="3" t="s">
        <v>83</v>
      </c>
      <c r="W12" s="3">
        <v>1314</v>
      </c>
      <c r="X12" s="3" t="s">
        <v>83</v>
      </c>
      <c r="Y12" s="3" t="s">
        <v>83</v>
      </c>
      <c r="Z12" s="3" t="s">
        <v>83</v>
      </c>
      <c r="AA12" s="3">
        <v>1105</v>
      </c>
      <c r="AB12" s="3" t="s">
        <v>83</v>
      </c>
      <c r="AC12" s="3" t="s">
        <v>83</v>
      </c>
      <c r="AD12" s="3" t="s">
        <v>83</v>
      </c>
      <c r="AE12" s="3">
        <v>5604</v>
      </c>
      <c r="AF12" s="3" t="s">
        <v>83</v>
      </c>
      <c r="AG12" s="3" t="s">
        <v>83</v>
      </c>
      <c r="AH12" s="3" t="s">
        <v>83</v>
      </c>
      <c r="AI12" s="3" t="s">
        <v>83</v>
      </c>
      <c r="AJ12" s="3" t="s">
        <v>83</v>
      </c>
      <c r="AK12" s="3">
        <v>2769</v>
      </c>
      <c r="AL12" s="3" t="s">
        <v>83</v>
      </c>
      <c r="AM12" s="3" t="s">
        <v>83</v>
      </c>
      <c r="AN12" s="3" t="s">
        <v>83</v>
      </c>
      <c r="AO12" s="3" t="s">
        <v>83</v>
      </c>
      <c r="AP12" s="3" t="s">
        <v>83</v>
      </c>
      <c r="AQ12" s="3">
        <v>2191</v>
      </c>
      <c r="AR12" s="3" t="s">
        <v>83</v>
      </c>
      <c r="AS12" s="3" t="s">
        <v>83</v>
      </c>
      <c r="AT12" s="3" t="s">
        <v>83</v>
      </c>
      <c r="AU12" s="3" t="s">
        <v>83</v>
      </c>
      <c r="AV12" s="3" t="s">
        <v>83</v>
      </c>
      <c r="AW12" s="3">
        <v>7310</v>
      </c>
      <c r="AX12" s="3" t="s">
        <v>83</v>
      </c>
      <c r="AY12" s="3">
        <v>12183</v>
      </c>
      <c r="AZ12" s="3" t="s">
        <v>83</v>
      </c>
      <c r="BA12" s="3" t="s">
        <v>83</v>
      </c>
      <c r="BB12" s="3" t="s">
        <v>83</v>
      </c>
      <c r="BC12" s="3" t="s">
        <v>83</v>
      </c>
      <c r="BD12" s="3" t="s">
        <v>83</v>
      </c>
      <c r="BE12" s="3">
        <v>1838</v>
      </c>
      <c r="BF12" s="3" t="s">
        <v>83</v>
      </c>
      <c r="BG12" s="3">
        <v>2933</v>
      </c>
      <c r="BH12" s="3" t="s">
        <v>83</v>
      </c>
      <c r="BI12" s="3" t="s">
        <v>83</v>
      </c>
      <c r="BJ12" s="3" t="s">
        <v>83</v>
      </c>
      <c r="BK12" s="3">
        <v>9720</v>
      </c>
      <c r="BL12" s="3" t="s">
        <v>83</v>
      </c>
      <c r="BM12" s="3" t="s">
        <v>83</v>
      </c>
      <c r="BN12" s="3" t="s">
        <v>83</v>
      </c>
      <c r="BO12" s="3">
        <v>1712</v>
      </c>
      <c r="BP12" s="3" t="s">
        <v>83</v>
      </c>
      <c r="BQ12" s="3" t="s">
        <v>83</v>
      </c>
      <c r="BR12" s="3" t="s">
        <v>83</v>
      </c>
      <c r="BS12" s="3" t="s">
        <v>83</v>
      </c>
      <c r="BT12" s="3" t="s">
        <v>83</v>
      </c>
      <c r="BU12" s="3">
        <v>4099</v>
      </c>
      <c r="BV12" s="3"/>
      <c r="BW12" s="3">
        <v>2471</v>
      </c>
      <c r="BX12" s="3" t="s">
        <v>83</v>
      </c>
      <c r="BY12" s="3" t="s">
        <v>83</v>
      </c>
      <c r="BZ12" s="3" t="s">
        <v>83</v>
      </c>
      <c r="CA12" s="3">
        <v>1201</v>
      </c>
      <c r="CB12" s="3" t="s">
        <v>83</v>
      </c>
      <c r="CC12" s="3" t="s">
        <v>83</v>
      </c>
    </row>
    <row r="13" spans="1:81" ht="15.75" x14ac:dyDescent="0.25">
      <c r="A13" s="2" t="s">
        <v>94</v>
      </c>
      <c r="B13" s="3" t="s">
        <v>83</v>
      </c>
      <c r="C13" s="3">
        <v>3178</v>
      </c>
      <c r="D13" s="3" t="s">
        <v>83</v>
      </c>
      <c r="E13" s="3" t="s">
        <v>83</v>
      </c>
      <c r="F13" s="3" t="s">
        <v>83</v>
      </c>
      <c r="G13" s="3" t="s">
        <v>83</v>
      </c>
      <c r="H13" s="3" t="s">
        <v>83</v>
      </c>
      <c r="I13" s="3">
        <v>35532</v>
      </c>
      <c r="J13" s="3" t="s">
        <v>83</v>
      </c>
      <c r="K13" s="3" t="s">
        <v>83</v>
      </c>
      <c r="L13" s="3" t="s">
        <v>83</v>
      </c>
      <c r="M13" s="3">
        <v>23372</v>
      </c>
      <c r="N13" s="3" t="s">
        <v>83</v>
      </c>
      <c r="O13" s="3" t="s">
        <v>83</v>
      </c>
      <c r="P13" s="3" t="s">
        <v>83</v>
      </c>
      <c r="Q13" s="3">
        <v>13496</v>
      </c>
      <c r="R13" s="3" t="s">
        <v>83</v>
      </c>
      <c r="S13" s="3">
        <v>52248</v>
      </c>
      <c r="T13" s="3" t="s">
        <v>83</v>
      </c>
      <c r="U13" s="3" t="s">
        <v>83</v>
      </c>
      <c r="V13" s="3" t="s">
        <v>83</v>
      </c>
      <c r="W13" s="3">
        <v>5936</v>
      </c>
      <c r="X13" s="3" t="s">
        <v>83</v>
      </c>
      <c r="Y13" s="3" t="s">
        <v>83</v>
      </c>
      <c r="Z13" s="3" t="s">
        <v>83</v>
      </c>
      <c r="AA13" s="3">
        <v>7612</v>
      </c>
      <c r="AB13" s="3" t="s">
        <v>83</v>
      </c>
      <c r="AC13" s="3" t="s">
        <v>83</v>
      </c>
      <c r="AD13" s="3" t="s">
        <v>83</v>
      </c>
      <c r="AE13" s="3">
        <v>24579</v>
      </c>
      <c r="AF13" s="3" t="s">
        <v>83</v>
      </c>
      <c r="AG13" s="3" t="s">
        <v>83</v>
      </c>
      <c r="AH13" s="3" t="s">
        <v>83</v>
      </c>
      <c r="AI13" s="3" t="s">
        <v>83</v>
      </c>
      <c r="AJ13" s="3" t="s">
        <v>83</v>
      </c>
      <c r="AK13" s="3">
        <v>11054</v>
      </c>
      <c r="AL13" s="3" t="s">
        <v>83</v>
      </c>
      <c r="AM13" s="3" t="s">
        <v>83</v>
      </c>
      <c r="AN13" s="3" t="s">
        <v>83</v>
      </c>
      <c r="AO13" s="3" t="s">
        <v>83</v>
      </c>
      <c r="AP13" s="3" t="s">
        <v>83</v>
      </c>
      <c r="AQ13" s="3">
        <v>25894</v>
      </c>
      <c r="AR13" s="3" t="s">
        <v>83</v>
      </c>
      <c r="AS13" s="3" t="s">
        <v>83</v>
      </c>
      <c r="AT13" s="3" t="s">
        <v>83</v>
      </c>
      <c r="AU13" s="3" t="s">
        <v>83</v>
      </c>
      <c r="AV13" s="3" t="s">
        <v>83</v>
      </c>
      <c r="AW13" s="3">
        <v>34271</v>
      </c>
      <c r="AX13" s="3" t="s">
        <v>83</v>
      </c>
      <c r="AY13" s="3">
        <v>68084</v>
      </c>
      <c r="AZ13" s="3" t="s">
        <v>83</v>
      </c>
      <c r="BA13" s="3" t="s">
        <v>83</v>
      </c>
      <c r="BB13" s="3" t="s">
        <v>83</v>
      </c>
      <c r="BC13" s="3" t="s">
        <v>83</v>
      </c>
      <c r="BD13" s="3" t="s">
        <v>83</v>
      </c>
      <c r="BE13" s="3">
        <v>3769</v>
      </c>
      <c r="BF13" s="3" t="s">
        <v>83</v>
      </c>
      <c r="BG13" s="3">
        <v>17944</v>
      </c>
      <c r="BH13" s="3" t="s">
        <v>83</v>
      </c>
      <c r="BI13" s="3" t="s">
        <v>83</v>
      </c>
      <c r="BJ13" s="3" t="s">
        <v>83</v>
      </c>
      <c r="BK13" s="3">
        <v>21932</v>
      </c>
      <c r="BL13" s="3" t="s">
        <v>83</v>
      </c>
      <c r="BM13" s="3" t="s">
        <v>83</v>
      </c>
      <c r="BN13" s="3" t="s">
        <v>83</v>
      </c>
      <c r="BO13" s="3">
        <v>7659</v>
      </c>
      <c r="BP13" s="3" t="s">
        <v>83</v>
      </c>
      <c r="BQ13" s="3" t="s">
        <v>83</v>
      </c>
      <c r="BR13" s="3" t="s">
        <v>83</v>
      </c>
      <c r="BS13" s="3" t="s">
        <v>83</v>
      </c>
      <c r="BT13" s="3" t="s">
        <v>83</v>
      </c>
      <c r="BU13" s="3">
        <v>15424</v>
      </c>
      <c r="BV13" s="3"/>
      <c r="BW13" s="3">
        <v>19246</v>
      </c>
      <c r="BX13" s="3" t="s">
        <v>83</v>
      </c>
      <c r="BY13" s="3" t="s">
        <v>83</v>
      </c>
      <c r="BZ13" s="3" t="s">
        <v>83</v>
      </c>
      <c r="CA13" s="3">
        <v>7961</v>
      </c>
      <c r="CB13" s="3" t="s">
        <v>83</v>
      </c>
      <c r="CC13" s="3" t="s">
        <v>83</v>
      </c>
    </row>
    <row r="14" spans="1:81" ht="15.75" x14ac:dyDescent="0.25">
      <c r="A14" s="2" t="s">
        <v>95</v>
      </c>
      <c r="B14" s="3" t="s">
        <v>83</v>
      </c>
      <c r="C14" s="3"/>
      <c r="D14" s="3" t="s">
        <v>83</v>
      </c>
      <c r="E14" s="3" t="s">
        <v>83</v>
      </c>
      <c r="F14" s="3" t="s">
        <v>83</v>
      </c>
      <c r="G14" s="3" t="s">
        <v>83</v>
      </c>
      <c r="H14" s="3" t="s">
        <v>83</v>
      </c>
      <c r="I14" s="3">
        <v>3381</v>
      </c>
      <c r="J14" s="3" t="s">
        <v>83</v>
      </c>
      <c r="K14" s="3" t="s">
        <v>83</v>
      </c>
      <c r="L14" s="3" t="s">
        <v>83</v>
      </c>
      <c r="M14" s="3">
        <v>2624</v>
      </c>
      <c r="N14" s="3" t="s">
        <v>83</v>
      </c>
      <c r="O14" s="3" t="s">
        <v>83</v>
      </c>
      <c r="P14" s="3" t="s">
        <v>83</v>
      </c>
      <c r="Q14" s="3">
        <v>916</v>
      </c>
      <c r="R14" s="3" t="s">
        <v>83</v>
      </c>
      <c r="S14" s="3">
        <v>40642</v>
      </c>
      <c r="T14" s="3" t="s">
        <v>83</v>
      </c>
      <c r="U14" s="3" t="s">
        <v>83</v>
      </c>
      <c r="V14" s="3" t="s">
        <v>83</v>
      </c>
      <c r="W14" s="3">
        <v>677</v>
      </c>
      <c r="X14" s="3" t="s">
        <v>83</v>
      </c>
      <c r="Y14" s="3" t="s">
        <v>83</v>
      </c>
      <c r="Z14" s="3" t="s">
        <v>83</v>
      </c>
      <c r="AA14" s="3">
        <v>1075</v>
      </c>
      <c r="AB14" s="3" t="s">
        <v>83</v>
      </c>
      <c r="AC14" s="3" t="s">
        <v>83</v>
      </c>
      <c r="AD14" s="3">
        <v>888</v>
      </c>
      <c r="AE14" s="3">
        <v>8367</v>
      </c>
      <c r="AF14" s="3">
        <v>986</v>
      </c>
      <c r="AG14" s="3">
        <v>760</v>
      </c>
      <c r="AH14" s="3" t="s">
        <v>83</v>
      </c>
      <c r="AI14" s="3" t="s">
        <v>83</v>
      </c>
      <c r="AJ14" s="3" t="s">
        <v>83</v>
      </c>
      <c r="AK14" s="3">
        <v>1235</v>
      </c>
      <c r="AL14" s="3" t="s">
        <v>83</v>
      </c>
      <c r="AM14" s="3" t="s">
        <v>83</v>
      </c>
      <c r="AN14" s="3" t="s">
        <v>83</v>
      </c>
      <c r="AO14" s="3" t="s">
        <v>83</v>
      </c>
      <c r="AP14" s="3" t="s">
        <v>83</v>
      </c>
      <c r="AQ14" s="3">
        <v>3706</v>
      </c>
      <c r="AR14" s="3" t="s">
        <v>83</v>
      </c>
      <c r="AS14" s="3" t="s">
        <v>83</v>
      </c>
      <c r="AT14" s="3" t="s">
        <v>83</v>
      </c>
      <c r="AU14" s="3" t="s">
        <v>83</v>
      </c>
      <c r="AV14" s="3" t="s">
        <v>83</v>
      </c>
      <c r="AW14" s="3">
        <v>6584</v>
      </c>
      <c r="AX14" s="3" t="s">
        <v>83</v>
      </c>
      <c r="AY14" s="3">
        <v>6953</v>
      </c>
      <c r="AZ14" s="3" t="s">
        <v>83</v>
      </c>
      <c r="BA14" s="3" t="s">
        <v>83</v>
      </c>
      <c r="BB14" s="3" t="s">
        <v>83</v>
      </c>
      <c r="BC14" s="3" t="s">
        <v>83</v>
      </c>
      <c r="BD14" s="3" t="s">
        <v>83</v>
      </c>
      <c r="BE14" s="3">
        <v>524</v>
      </c>
      <c r="BF14" s="3" t="s">
        <v>83</v>
      </c>
      <c r="BG14" s="3">
        <v>3230</v>
      </c>
      <c r="BH14" s="3" t="s">
        <v>83</v>
      </c>
      <c r="BI14" s="3" t="s">
        <v>83</v>
      </c>
      <c r="BJ14" s="3" t="s">
        <v>83</v>
      </c>
      <c r="BK14" s="3">
        <v>2906</v>
      </c>
      <c r="BL14" s="3" t="s">
        <v>83</v>
      </c>
      <c r="BM14" s="3" t="s">
        <v>83</v>
      </c>
      <c r="BN14" s="3" t="s">
        <v>83</v>
      </c>
      <c r="BO14" s="3">
        <v>684</v>
      </c>
      <c r="BP14" s="3" t="s">
        <v>83</v>
      </c>
      <c r="BQ14" s="3" t="s">
        <v>83</v>
      </c>
      <c r="BR14" s="3" t="s">
        <v>83</v>
      </c>
      <c r="BS14" s="3" t="s">
        <v>83</v>
      </c>
      <c r="BT14" s="3" t="s">
        <v>83</v>
      </c>
      <c r="BU14" s="3">
        <v>1764</v>
      </c>
      <c r="BV14" s="3"/>
      <c r="BW14" s="3">
        <v>2075</v>
      </c>
      <c r="BX14" s="3" t="s">
        <v>83</v>
      </c>
      <c r="BY14" s="3" t="s">
        <v>83</v>
      </c>
      <c r="BZ14" s="3" t="s">
        <v>83</v>
      </c>
      <c r="CA14" s="3">
        <v>1215</v>
      </c>
      <c r="CB14" s="3" t="s">
        <v>83</v>
      </c>
      <c r="CC14" s="3" t="s">
        <v>83</v>
      </c>
    </row>
    <row r="15" spans="1:81" ht="15.75" x14ac:dyDescent="0.25">
      <c r="A15" s="2" t="s">
        <v>96</v>
      </c>
      <c r="B15" s="3" t="s">
        <v>83</v>
      </c>
      <c r="C15" s="3">
        <v>7986</v>
      </c>
      <c r="D15" s="3" t="s">
        <v>83</v>
      </c>
      <c r="E15" s="3" t="s">
        <v>83</v>
      </c>
      <c r="F15" s="3" t="s">
        <v>83</v>
      </c>
      <c r="G15" s="3" t="s">
        <v>83</v>
      </c>
      <c r="H15" s="3" t="s">
        <v>83</v>
      </c>
      <c r="I15" s="3">
        <v>13271</v>
      </c>
      <c r="J15" s="3" t="s">
        <v>83</v>
      </c>
      <c r="K15" s="3" t="s">
        <v>83</v>
      </c>
      <c r="L15" s="3" t="s">
        <v>83</v>
      </c>
      <c r="M15" s="3">
        <v>7164</v>
      </c>
      <c r="N15" s="3" t="s">
        <v>83</v>
      </c>
      <c r="O15" s="3" t="s">
        <v>83</v>
      </c>
      <c r="P15" s="3" t="s">
        <v>83</v>
      </c>
      <c r="Q15" s="3">
        <v>2758</v>
      </c>
      <c r="R15" s="3" t="s">
        <v>83</v>
      </c>
      <c r="S15" s="3">
        <v>32358</v>
      </c>
      <c r="T15" s="3" t="s">
        <v>83</v>
      </c>
      <c r="U15" s="3" t="s">
        <v>83</v>
      </c>
      <c r="V15" s="3" t="s">
        <v>83</v>
      </c>
      <c r="W15" s="3">
        <v>2364</v>
      </c>
      <c r="X15" s="3" t="s">
        <v>83</v>
      </c>
      <c r="Y15" s="3" t="s">
        <v>83</v>
      </c>
      <c r="Z15" s="3" t="s">
        <v>83</v>
      </c>
      <c r="AA15" s="3">
        <v>2325</v>
      </c>
      <c r="AB15" s="3" t="s">
        <v>83</v>
      </c>
      <c r="AC15" s="3" t="s">
        <v>83</v>
      </c>
      <c r="AD15" s="3" t="s">
        <v>83</v>
      </c>
      <c r="AE15" s="3">
        <v>17135</v>
      </c>
      <c r="AF15" s="3" t="s">
        <v>83</v>
      </c>
      <c r="AG15" s="3" t="s">
        <v>83</v>
      </c>
      <c r="AH15" s="3" t="s">
        <v>83</v>
      </c>
      <c r="AI15" s="3" t="s">
        <v>83</v>
      </c>
      <c r="AJ15" s="3" t="s">
        <v>83</v>
      </c>
      <c r="AK15" s="3">
        <v>3789</v>
      </c>
      <c r="AL15" s="3" t="s">
        <v>83</v>
      </c>
      <c r="AM15" s="3" t="s">
        <v>83</v>
      </c>
      <c r="AN15" s="3" t="s">
        <v>83</v>
      </c>
      <c r="AO15" s="3" t="s">
        <v>83</v>
      </c>
      <c r="AP15" s="3" t="s">
        <v>83</v>
      </c>
      <c r="AQ15" s="3">
        <v>10891</v>
      </c>
      <c r="AR15" s="3" t="s">
        <v>83</v>
      </c>
      <c r="AS15" s="3" t="s">
        <v>83</v>
      </c>
      <c r="AT15" s="3" t="s">
        <v>83</v>
      </c>
      <c r="AU15" s="3" t="s">
        <v>83</v>
      </c>
      <c r="AV15" s="3" t="s">
        <v>83</v>
      </c>
      <c r="AW15" s="3">
        <v>8157</v>
      </c>
      <c r="AX15" s="3" t="s">
        <v>83</v>
      </c>
      <c r="AY15" s="3">
        <v>27005</v>
      </c>
      <c r="AZ15" s="3" t="s">
        <v>83</v>
      </c>
      <c r="BA15" s="3" t="s">
        <v>83</v>
      </c>
      <c r="BB15" s="3" t="s">
        <v>83</v>
      </c>
      <c r="BC15" s="3" t="s">
        <v>83</v>
      </c>
      <c r="BD15" s="3" t="s">
        <v>83</v>
      </c>
      <c r="BE15" s="3">
        <v>1880</v>
      </c>
      <c r="BF15" s="3" t="s">
        <v>83</v>
      </c>
      <c r="BG15" s="3">
        <v>7944</v>
      </c>
      <c r="BH15" s="3" t="s">
        <v>83</v>
      </c>
      <c r="BI15" s="3" t="s">
        <v>83</v>
      </c>
      <c r="BJ15" s="3" t="s">
        <v>83</v>
      </c>
      <c r="BK15" s="3">
        <v>6770</v>
      </c>
      <c r="BL15" s="3" t="s">
        <v>83</v>
      </c>
      <c r="BM15" s="3" t="s">
        <v>83</v>
      </c>
      <c r="BN15" s="3" t="s">
        <v>83</v>
      </c>
      <c r="BO15" s="3">
        <v>2327</v>
      </c>
      <c r="BP15" s="3" t="s">
        <v>83</v>
      </c>
      <c r="BQ15" s="3" t="s">
        <v>83</v>
      </c>
      <c r="BR15" s="3" t="s">
        <v>83</v>
      </c>
      <c r="BS15" s="3" t="s">
        <v>83</v>
      </c>
      <c r="BT15" s="3" t="s">
        <v>83</v>
      </c>
      <c r="BU15" s="3">
        <v>4132</v>
      </c>
      <c r="BV15" s="3"/>
      <c r="BW15" s="3">
        <v>7972</v>
      </c>
      <c r="BX15" s="3" t="s">
        <v>83</v>
      </c>
      <c r="BY15" s="3" t="s">
        <v>83</v>
      </c>
      <c r="BZ15" s="3" t="s">
        <v>83</v>
      </c>
      <c r="CA15" s="3">
        <v>3660</v>
      </c>
      <c r="CB15" s="3" t="s">
        <v>83</v>
      </c>
      <c r="CC15" s="3" t="s">
        <v>83</v>
      </c>
    </row>
    <row r="16" spans="1:81" ht="15.75" x14ac:dyDescent="0.25">
      <c r="A16" s="2" t="s">
        <v>97</v>
      </c>
      <c r="B16" s="3">
        <v>4782</v>
      </c>
      <c r="C16" s="3">
        <v>4821</v>
      </c>
      <c r="D16" s="3">
        <v>8878</v>
      </c>
      <c r="E16" s="3">
        <v>11582</v>
      </c>
      <c r="F16" s="3">
        <v>4345</v>
      </c>
      <c r="G16" s="3">
        <v>4167</v>
      </c>
      <c r="H16" s="3">
        <v>4893</v>
      </c>
      <c r="I16" s="3">
        <v>8761</v>
      </c>
      <c r="J16" s="3">
        <v>6225</v>
      </c>
      <c r="K16" s="3">
        <v>6733</v>
      </c>
      <c r="L16" s="3">
        <v>18058</v>
      </c>
      <c r="M16" s="3">
        <v>5464</v>
      </c>
      <c r="N16" s="3">
        <v>5745</v>
      </c>
      <c r="O16" s="3">
        <v>3886</v>
      </c>
      <c r="P16" s="3">
        <v>2913</v>
      </c>
      <c r="Q16" s="3">
        <v>4451</v>
      </c>
      <c r="R16" s="3">
        <v>7245</v>
      </c>
      <c r="S16" s="3">
        <v>10897</v>
      </c>
      <c r="T16" s="3">
        <v>7068</v>
      </c>
      <c r="U16" s="3">
        <v>6518</v>
      </c>
      <c r="V16" s="3">
        <v>3357</v>
      </c>
      <c r="W16" s="3">
        <v>2850</v>
      </c>
      <c r="X16" s="3">
        <v>3528</v>
      </c>
      <c r="Y16" s="3">
        <v>3003</v>
      </c>
      <c r="Z16" s="3">
        <v>4896</v>
      </c>
      <c r="AA16" s="3">
        <v>8874</v>
      </c>
      <c r="AB16" s="3">
        <v>10440</v>
      </c>
      <c r="AC16" s="3">
        <v>10007</v>
      </c>
      <c r="AD16" s="3">
        <v>17238</v>
      </c>
      <c r="AE16" s="3">
        <v>5890</v>
      </c>
      <c r="AF16" s="3">
        <v>12176</v>
      </c>
      <c r="AG16" s="3">
        <v>5631</v>
      </c>
      <c r="AH16" s="3">
        <v>3805</v>
      </c>
      <c r="AI16" s="3">
        <v>2503</v>
      </c>
      <c r="AJ16" s="3">
        <v>2120</v>
      </c>
      <c r="AK16" s="3">
        <v>2691</v>
      </c>
      <c r="AL16" s="3">
        <v>3350</v>
      </c>
      <c r="AM16" s="3">
        <v>7223</v>
      </c>
      <c r="AN16" s="3">
        <v>8226</v>
      </c>
      <c r="AO16" s="3">
        <v>5553</v>
      </c>
      <c r="AP16" s="3">
        <v>8400</v>
      </c>
      <c r="AQ16" s="3">
        <v>6896</v>
      </c>
      <c r="AR16" s="3">
        <v>6753</v>
      </c>
      <c r="AS16" s="3">
        <v>3563</v>
      </c>
      <c r="AT16" s="3">
        <v>11222</v>
      </c>
      <c r="AU16" s="3">
        <v>17590</v>
      </c>
      <c r="AV16" s="3">
        <v>20102</v>
      </c>
      <c r="AW16" s="3">
        <v>13012</v>
      </c>
      <c r="AX16" s="3">
        <v>3801</v>
      </c>
      <c r="AY16" s="3">
        <v>14834</v>
      </c>
      <c r="AZ16" s="3">
        <v>4528</v>
      </c>
      <c r="BA16" s="3">
        <v>4370</v>
      </c>
      <c r="BB16" s="3">
        <v>5303</v>
      </c>
      <c r="BC16" s="3">
        <v>2986</v>
      </c>
      <c r="BD16" s="3">
        <v>4557</v>
      </c>
      <c r="BE16" s="3">
        <v>5558</v>
      </c>
      <c r="BF16" s="3">
        <v>7331</v>
      </c>
      <c r="BG16" s="3">
        <v>8430</v>
      </c>
      <c r="BH16" s="3">
        <v>10287</v>
      </c>
      <c r="BI16" s="3">
        <v>9526</v>
      </c>
      <c r="BJ16" s="3">
        <v>5391</v>
      </c>
      <c r="BK16" s="3">
        <v>3791</v>
      </c>
      <c r="BL16" s="3">
        <v>5473</v>
      </c>
      <c r="BM16" s="3">
        <v>5082</v>
      </c>
      <c r="BN16" s="3">
        <v>2374</v>
      </c>
      <c r="BO16" s="3">
        <v>1729</v>
      </c>
      <c r="BP16" s="3">
        <v>2356</v>
      </c>
      <c r="BQ16" s="3">
        <v>2107</v>
      </c>
      <c r="BR16" s="3">
        <v>3010</v>
      </c>
      <c r="BS16" s="3">
        <v>2431</v>
      </c>
      <c r="BT16" s="3">
        <v>2841</v>
      </c>
      <c r="BU16" s="3">
        <v>3704</v>
      </c>
      <c r="BV16" s="3">
        <v>1701</v>
      </c>
      <c r="BW16" s="3">
        <v>1581</v>
      </c>
      <c r="BX16" s="3">
        <v>1118</v>
      </c>
      <c r="BY16" s="3">
        <v>2349</v>
      </c>
      <c r="BZ16" s="3">
        <v>8465</v>
      </c>
      <c r="CA16" s="3">
        <v>5101</v>
      </c>
      <c r="CB16" s="3">
        <v>8138</v>
      </c>
      <c r="CC16" s="3">
        <v>9052</v>
      </c>
    </row>
    <row r="17" spans="1:81" ht="15.75" x14ac:dyDescent="0.25">
      <c r="A17" s="2" t="s">
        <v>98</v>
      </c>
      <c r="B17" s="3">
        <v>49221</v>
      </c>
      <c r="C17" s="3">
        <v>42478</v>
      </c>
      <c r="D17" s="3">
        <v>112682</v>
      </c>
      <c r="E17" s="3">
        <v>49705</v>
      </c>
      <c r="F17" s="3">
        <v>105400</v>
      </c>
      <c r="G17" s="3">
        <v>194141</v>
      </c>
      <c r="H17" s="3">
        <v>43949</v>
      </c>
      <c r="I17" s="3">
        <v>192488</v>
      </c>
      <c r="J17" s="3">
        <v>250792</v>
      </c>
      <c r="K17" s="3">
        <v>299892</v>
      </c>
      <c r="L17" s="3">
        <v>322658</v>
      </c>
      <c r="M17" s="3">
        <v>104209</v>
      </c>
      <c r="N17" s="3">
        <v>128182</v>
      </c>
      <c r="O17" s="3">
        <v>237576</v>
      </c>
      <c r="P17" s="3">
        <v>97610</v>
      </c>
      <c r="Q17" s="3">
        <v>76739</v>
      </c>
      <c r="R17" s="3">
        <v>28439</v>
      </c>
      <c r="S17" s="3">
        <v>111269</v>
      </c>
      <c r="T17" s="3">
        <v>14962</v>
      </c>
      <c r="U17" s="3">
        <v>18008</v>
      </c>
      <c r="V17" s="3">
        <v>122460</v>
      </c>
      <c r="W17" s="3">
        <v>58679</v>
      </c>
      <c r="X17" s="3">
        <v>369853</v>
      </c>
      <c r="Y17" s="3">
        <v>14197</v>
      </c>
      <c r="Z17" s="4">
        <v>2898</v>
      </c>
      <c r="AA17" s="4">
        <v>2331</v>
      </c>
      <c r="AB17" s="4">
        <v>2342</v>
      </c>
      <c r="AC17" s="4">
        <v>6961</v>
      </c>
      <c r="AD17" s="3">
        <v>19195</v>
      </c>
      <c r="AE17" s="3">
        <v>13824</v>
      </c>
      <c r="AF17" s="3">
        <v>7323</v>
      </c>
      <c r="AG17" s="3">
        <v>13412</v>
      </c>
      <c r="AH17" s="3">
        <v>25069</v>
      </c>
      <c r="AI17" s="3">
        <v>103466</v>
      </c>
      <c r="AJ17" s="3">
        <v>37854</v>
      </c>
      <c r="AK17" s="3">
        <v>34402</v>
      </c>
      <c r="AL17" s="3">
        <v>70211</v>
      </c>
      <c r="AM17" s="3">
        <v>73359</v>
      </c>
      <c r="AN17" s="3">
        <v>115517</v>
      </c>
      <c r="AO17" s="3">
        <v>50025</v>
      </c>
      <c r="AP17" s="3">
        <v>8357</v>
      </c>
      <c r="AQ17" s="3">
        <v>190432</v>
      </c>
      <c r="AR17" s="3">
        <v>151416</v>
      </c>
      <c r="AS17" s="3">
        <v>291542</v>
      </c>
      <c r="AT17" s="3">
        <v>15143</v>
      </c>
      <c r="AU17" s="3">
        <v>114206</v>
      </c>
      <c r="AV17" s="3">
        <v>65955</v>
      </c>
      <c r="AW17" s="3">
        <v>51017</v>
      </c>
      <c r="AX17" s="3">
        <v>233350</v>
      </c>
      <c r="AY17" s="3">
        <v>155519</v>
      </c>
      <c r="AZ17" s="3">
        <v>89810</v>
      </c>
      <c r="BA17" s="3">
        <v>134348</v>
      </c>
      <c r="BB17" s="3">
        <v>145842</v>
      </c>
      <c r="BC17" s="3">
        <v>45133</v>
      </c>
      <c r="BD17" s="3">
        <v>52990</v>
      </c>
      <c r="BE17" s="3">
        <v>88595</v>
      </c>
      <c r="BF17" s="3">
        <v>49097</v>
      </c>
      <c r="BG17" s="3">
        <v>53704</v>
      </c>
      <c r="BH17" s="3">
        <v>35167</v>
      </c>
      <c r="BI17" s="3">
        <v>27365</v>
      </c>
      <c r="BJ17" s="3">
        <v>59316</v>
      </c>
      <c r="BK17" s="3">
        <v>73070</v>
      </c>
      <c r="BL17" s="3">
        <v>109613</v>
      </c>
      <c r="BM17" s="3">
        <v>47538</v>
      </c>
      <c r="BN17" s="3">
        <v>94542</v>
      </c>
      <c r="BO17" s="3">
        <v>67289</v>
      </c>
      <c r="BP17" s="3">
        <v>104164</v>
      </c>
      <c r="BQ17" s="3">
        <v>161034</v>
      </c>
      <c r="BR17" s="3">
        <v>7133</v>
      </c>
      <c r="BS17" s="3">
        <v>11344</v>
      </c>
      <c r="BT17" s="3">
        <v>7859</v>
      </c>
      <c r="BU17" s="3">
        <v>22658</v>
      </c>
      <c r="BV17" s="3">
        <v>109442</v>
      </c>
      <c r="BW17" s="3">
        <v>162347</v>
      </c>
      <c r="BX17" s="3">
        <v>170197</v>
      </c>
      <c r="BY17" s="3">
        <v>98183</v>
      </c>
      <c r="BZ17" s="3">
        <v>45969</v>
      </c>
      <c r="CA17" s="3">
        <v>63636</v>
      </c>
      <c r="CB17" s="3">
        <v>276827</v>
      </c>
      <c r="CC17" s="3">
        <v>60397</v>
      </c>
    </row>
    <row r="19" spans="1:81" s="6" customFormat="1" x14ac:dyDescent="0.25">
      <c r="B19" s="6" t="s">
        <v>112</v>
      </c>
      <c r="C19" s="6" t="s">
        <v>112</v>
      </c>
      <c r="D19" s="6" t="s">
        <v>112</v>
      </c>
      <c r="E19" s="6" t="s">
        <v>112</v>
      </c>
      <c r="F19" s="6" t="s">
        <v>112</v>
      </c>
      <c r="G19" s="6" t="s">
        <v>112</v>
      </c>
      <c r="H19" s="6" t="s">
        <v>112</v>
      </c>
      <c r="I19" s="6" t="s">
        <v>112</v>
      </c>
      <c r="J19" s="6" t="s">
        <v>112</v>
      </c>
      <c r="K19" s="6" t="s">
        <v>112</v>
      </c>
      <c r="L19" s="6" t="s">
        <v>112</v>
      </c>
      <c r="M19" s="6" t="s">
        <v>112</v>
      </c>
      <c r="N19" s="6" t="s">
        <v>112</v>
      </c>
      <c r="O19" s="6" t="s">
        <v>112</v>
      </c>
      <c r="P19" s="6" t="s">
        <v>112</v>
      </c>
      <c r="Q19" s="6" t="s">
        <v>112</v>
      </c>
      <c r="R19" s="6" t="s">
        <v>112</v>
      </c>
      <c r="S19" s="6" t="s">
        <v>112</v>
      </c>
      <c r="T19" s="6" t="s">
        <v>112</v>
      </c>
      <c r="U19" s="6" t="s">
        <v>112</v>
      </c>
      <c r="V19" s="6" t="s">
        <v>112</v>
      </c>
      <c r="W19" s="6" t="s">
        <v>112</v>
      </c>
      <c r="X19" s="6" t="s">
        <v>112</v>
      </c>
      <c r="Y19" s="6" t="s">
        <v>112</v>
      </c>
      <c r="Z19" s="6" t="s">
        <v>112</v>
      </c>
      <c r="AA19" s="6" t="s">
        <v>112</v>
      </c>
      <c r="AB19" s="6" t="s">
        <v>112</v>
      </c>
      <c r="AC19" s="6" t="s">
        <v>112</v>
      </c>
      <c r="AD19" s="6" t="s">
        <v>112</v>
      </c>
      <c r="AE19" s="6" t="s">
        <v>112</v>
      </c>
      <c r="AF19" s="6" t="s">
        <v>112</v>
      </c>
      <c r="AG19" s="6" t="s">
        <v>112</v>
      </c>
      <c r="AH19" s="6" t="s">
        <v>112</v>
      </c>
      <c r="AI19" s="6" t="s">
        <v>112</v>
      </c>
      <c r="AJ19" s="6" t="s">
        <v>112</v>
      </c>
      <c r="AK19" s="6" t="s">
        <v>112</v>
      </c>
      <c r="AL19" s="6" t="s">
        <v>112</v>
      </c>
      <c r="AM19" s="6" t="s">
        <v>112</v>
      </c>
      <c r="AN19" s="6" t="s">
        <v>112</v>
      </c>
      <c r="AO19" s="6" t="s">
        <v>112</v>
      </c>
      <c r="AP19" s="6" t="s">
        <v>112</v>
      </c>
      <c r="AQ19" s="6" t="s">
        <v>112</v>
      </c>
      <c r="AR19" s="6" t="s">
        <v>112</v>
      </c>
      <c r="AS19" s="6" t="s">
        <v>112</v>
      </c>
      <c r="AT19" s="6" t="s">
        <v>112</v>
      </c>
      <c r="AU19" s="6" t="s">
        <v>112</v>
      </c>
      <c r="AV19" s="6" t="s">
        <v>112</v>
      </c>
      <c r="AW19" s="6" t="s">
        <v>112</v>
      </c>
      <c r="AX19" s="6" t="s">
        <v>112</v>
      </c>
      <c r="AY19" s="6" t="s">
        <v>112</v>
      </c>
      <c r="AZ19" s="6" t="s">
        <v>112</v>
      </c>
      <c r="BA19" s="6" t="s">
        <v>112</v>
      </c>
      <c r="BB19" s="6" t="s">
        <v>112</v>
      </c>
      <c r="BC19" s="6" t="s">
        <v>112</v>
      </c>
      <c r="BD19" s="6" t="s">
        <v>112</v>
      </c>
      <c r="BE19" s="6" t="s">
        <v>112</v>
      </c>
      <c r="BF19" s="6" t="s">
        <v>112</v>
      </c>
      <c r="BG19" s="6" t="s">
        <v>112</v>
      </c>
      <c r="BH19" s="6" t="s">
        <v>112</v>
      </c>
      <c r="BI19" s="6" t="s">
        <v>112</v>
      </c>
      <c r="BJ19" s="6" t="s">
        <v>112</v>
      </c>
      <c r="BK19" s="6" t="s">
        <v>112</v>
      </c>
      <c r="BL19" s="6" t="s">
        <v>112</v>
      </c>
      <c r="BM19" s="6" t="s">
        <v>112</v>
      </c>
      <c r="BN19" s="6" t="s">
        <v>112</v>
      </c>
      <c r="BO19" s="6" t="s">
        <v>112</v>
      </c>
      <c r="BP19" s="6" t="s">
        <v>112</v>
      </c>
      <c r="BQ19" s="6" t="s">
        <v>112</v>
      </c>
      <c r="BR19" s="6" t="s">
        <v>112</v>
      </c>
      <c r="BS19" s="6" t="s">
        <v>112</v>
      </c>
      <c r="BT19" s="6" t="s">
        <v>112</v>
      </c>
      <c r="BU19" s="6" t="s">
        <v>112</v>
      </c>
      <c r="BV19" s="6" t="s">
        <v>112</v>
      </c>
      <c r="BW19" s="6" t="s">
        <v>112</v>
      </c>
      <c r="BX19" s="6" t="s">
        <v>112</v>
      </c>
      <c r="BY19" s="6" t="s">
        <v>112</v>
      </c>
      <c r="BZ19" s="6" t="s">
        <v>112</v>
      </c>
      <c r="CA19" s="6" t="s">
        <v>112</v>
      </c>
      <c r="CB19" s="6" t="s">
        <v>112</v>
      </c>
      <c r="CC19" s="6" t="s">
        <v>112</v>
      </c>
    </row>
    <row r="20" spans="1:81" ht="15.75" x14ac:dyDescent="0.25">
      <c r="A20" s="2" t="s">
        <v>81</v>
      </c>
      <c r="B20">
        <f>+B2/1000000</f>
        <v>0.114304</v>
      </c>
      <c r="C20">
        <f t="shared" ref="C20:BN21" si="0">+C2/1000000</f>
        <v>0.25412200000000001</v>
      </c>
      <c r="D20">
        <f t="shared" si="0"/>
        <v>0.22764899999999999</v>
      </c>
      <c r="E20">
        <f t="shared" si="0"/>
        <v>0.32169900000000001</v>
      </c>
      <c r="F20">
        <f t="shared" si="0"/>
        <v>0.25275399999999998</v>
      </c>
      <c r="G20">
        <f t="shared" si="0"/>
        <v>0.164767</v>
      </c>
      <c r="H20">
        <f t="shared" si="0"/>
        <v>0.26183600000000001</v>
      </c>
      <c r="I20">
        <f t="shared" si="0"/>
        <v>0.19967699999999999</v>
      </c>
      <c r="J20">
        <f t="shared" si="0"/>
        <v>0.20513400000000001</v>
      </c>
      <c r="K20">
        <f t="shared" si="0"/>
        <v>0.100203</v>
      </c>
      <c r="L20">
        <f t="shared" si="0"/>
        <v>0.21032500000000001</v>
      </c>
      <c r="M20">
        <f t="shared" si="0"/>
        <v>0.14948800000000001</v>
      </c>
      <c r="N20">
        <f t="shared" si="0"/>
        <v>0.13259799999999999</v>
      </c>
      <c r="O20">
        <f t="shared" si="0"/>
        <v>0.19126199999999999</v>
      </c>
      <c r="P20">
        <f t="shared" si="0"/>
        <v>0.267347</v>
      </c>
      <c r="Q20">
        <f t="shared" si="0"/>
        <v>0.59021400000000002</v>
      </c>
      <c r="R20">
        <f t="shared" si="0"/>
        <v>0.62229599999999996</v>
      </c>
      <c r="S20">
        <f t="shared" si="0"/>
        <v>0.91080099999999997</v>
      </c>
      <c r="T20">
        <f t="shared" si="0"/>
        <v>0.61329999999999996</v>
      </c>
      <c r="U20">
        <f t="shared" si="0"/>
        <v>0.54337999999999997</v>
      </c>
      <c r="V20">
        <f t="shared" si="0"/>
        <v>0.19361500000000001</v>
      </c>
      <c r="W20">
        <f t="shared" si="0"/>
        <v>5.6243000000000001E-2</v>
      </c>
      <c r="X20">
        <f t="shared" si="0"/>
        <v>5.5025999999999999E-2</v>
      </c>
      <c r="Y20">
        <f t="shared" si="0"/>
        <v>6.7747000000000002E-2</v>
      </c>
      <c r="Z20">
        <f t="shared" si="0"/>
        <v>8.9802999999999994E-2</v>
      </c>
      <c r="AA20">
        <f t="shared" si="0"/>
        <v>0.17394999999999999</v>
      </c>
      <c r="AB20">
        <f t="shared" si="0"/>
        <v>0.108746</v>
      </c>
      <c r="AC20">
        <f t="shared" si="0"/>
        <v>0.135906</v>
      </c>
      <c r="AD20">
        <f t="shared" si="0"/>
        <v>0.149392</v>
      </c>
      <c r="AE20">
        <f t="shared" si="0"/>
        <v>0.23427000000000001</v>
      </c>
      <c r="AF20">
        <f t="shared" si="0"/>
        <v>0.16867099999999999</v>
      </c>
      <c r="AG20">
        <f t="shared" si="0"/>
        <v>0.154419</v>
      </c>
      <c r="AH20">
        <f t="shared" si="0"/>
        <v>0.13972000000000001</v>
      </c>
      <c r="AI20">
        <f t="shared" si="0"/>
        <v>8.8651999999999995E-2</v>
      </c>
      <c r="AJ20">
        <f t="shared" si="0"/>
        <v>0.175258</v>
      </c>
      <c r="AK20">
        <f t="shared" si="0"/>
        <v>0.227879</v>
      </c>
      <c r="AL20">
        <f t="shared" si="0"/>
        <v>0.126164</v>
      </c>
      <c r="AM20">
        <f t="shared" si="0"/>
        <v>0.30290600000000001</v>
      </c>
      <c r="AN20">
        <f t="shared" si="0"/>
        <v>0.272179</v>
      </c>
      <c r="AO20">
        <f t="shared" si="0"/>
        <v>0.28149400000000002</v>
      </c>
      <c r="AP20">
        <f t="shared" si="0"/>
        <v>0.31012600000000001</v>
      </c>
      <c r="AQ20">
        <f t="shared" si="0"/>
        <v>0.38477099999999997</v>
      </c>
      <c r="AR20">
        <f t="shared" si="0"/>
        <v>0.36494100000000002</v>
      </c>
      <c r="AS20">
        <f t="shared" si="0"/>
        <v>0.47473500000000002</v>
      </c>
      <c r="AT20">
        <f t="shared" si="0"/>
        <v>6.8187999999999999E-2</v>
      </c>
      <c r="AU20">
        <f t="shared" si="0"/>
        <v>0.111739</v>
      </c>
      <c r="AV20">
        <f t="shared" si="0"/>
        <v>0.13739699999999999</v>
      </c>
      <c r="AW20">
        <f t="shared" si="0"/>
        <v>0.10338700000000001</v>
      </c>
      <c r="AX20">
        <f t="shared" si="0"/>
        <v>0.12978500000000001</v>
      </c>
      <c r="AY20">
        <f t="shared" si="0"/>
        <v>0.13227900000000001</v>
      </c>
      <c r="AZ20">
        <f t="shared" si="0"/>
        <v>0.12392300000000001</v>
      </c>
      <c r="BA20">
        <f t="shared" si="0"/>
        <v>0.18410000000000001</v>
      </c>
      <c r="BB20">
        <f t="shared" si="0"/>
        <v>0.99535700000000005</v>
      </c>
      <c r="BC20">
        <f t="shared" si="0"/>
        <v>0.57873300000000005</v>
      </c>
      <c r="BD20">
        <f t="shared" si="0"/>
        <v>0.55772999999999995</v>
      </c>
      <c r="BE20">
        <f t="shared" si="0"/>
        <v>7.0037000000000002E-2</v>
      </c>
      <c r="BF20">
        <f t="shared" si="0"/>
        <v>0.193967</v>
      </c>
      <c r="BG20">
        <f t="shared" si="0"/>
        <v>0.39185799999999998</v>
      </c>
      <c r="BH20">
        <f t="shared" si="0"/>
        <v>0.340667</v>
      </c>
      <c r="BI20">
        <f t="shared" si="0"/>
        <v>0.339619</v>
      </c>
      <c r="BJ20">
        <f t="shared" si="0"/>
        <v>8.9978000000000002E-2</v>
      </c>
      <c r="BK20">
        <f t="shared" si="0"/>
        <v>0.31906200000000001</v>
      </c>
      <c r="BL20">
        <f t="shared" si="0"/>
        <v>0.211316</v>
      </c>
      <c r="BM20">
        <f t="shared" si="0"/>
        <v>0.14180699999999999</v>
      </c>
      <c r="BN20">
        <f t="shared" si="0"/>
        <v>1.0005470000000001</v>
      </c>
      <c r="BO20">
        <f t="shared" ref="BO20:CC24" si="1">+BO2/1000000</f>
        <v>6.7419999999999994E-2</v>
      </c>
      <c r="BP20">
        <f t="shared" si="1"/>
        <v>0.16978299999999999</v>
      </c>
      <c r="BQ20">
        <f t="shared" si="1"/>
        <v>0.16189999999999999</v>
      </c>
      <c r="BR20">
        <f t="shared" si="1"/>
        <v>0.47931600000000002</v>
      </c>
      <c r="BS20">
        <f t="shared" si="1"/>
        <v>0.32107000000000002</v>
      </c>
      <c r="BT20">
        <f t="shared" si="1"/>
        <v>0.39145999999999997</v>
      </c>
      <c r="BU20">
        <f t="shared" si="1"/>
        <v>0.18463399999999999</v>
      </c>
      <c r="BV20">
        <f t="shared" si="1"/>
        <v>0.44428400000000001</v>
      </c>
      <c r="BW20">
        <f t="shared" si="1"/>
        <v>0.23372000000000001</v>
      </c>
      <c r="BX20">
        <f t="shared" si="1"/>
        <v>0.288663</v>
      </c>
      <c r="BY20">
        <f t="shared" si="1"/>
        <v>0.192636</v>
      </c>
      <c r="BZ20">
        <f t="shared" si="1"/>
        <v>0.34042800000000001</v>
      </c>
      <c r="CA20">
        <f t="shared" si="1"/>
        <v>0.21721699999999999</v>
      </c>
      <c r="CB20">
        <f t="shared" si="1"/>
        <v>0.25751299999999999</v>
      </c>
      <c r="CC20">
        <f t="shared" si="1"/>
        <v>0.17999899999999999</v>
      </c>
    </row>
    <row r="21" spans="1:81" ht="15.75" x14ac:dyDescent="0.25">
      <c r="A21" s="2" t="s">
        <v>82</v>
      </c>
      <c r="B21">
        <f t="shared" ref="B21:Q35" si="2">+B3/1000000</f>
        <v>8.4117999999999998E-2</v>
      </c>
      <c r="C21">
        <f t="shared" si="2"/>
        <v>0.10495699999999999</v>
      </c>
      <c r="D21">
        <f t="shared" si="2"/>
        <v>9.1266E-2</v>
      </c>
      <c r="E21">
        <f t="shared" si="2"/>
        <v>9.0440999999999994E-2</v>
      </c>
      <c r="F21">
        <f t="shared" si="2"/>
        <v>4.2624000000000002E-2</v>
      </c>
      <c r="G21">
        <f t="shared" si="2"/>
        <v>9.6950000000000005E-3</v>
      </c>
      <c r="H21">
        <f t="shared" si="2"/>
        <v>7.3222999999999996E-2</v>
      </c>
      <c r="I21">
        <f t="shared" si="2"/>
        <v>5.3636000000000003E-2</v>
      </c>
      <c r="J21">
        <f t="shared" si="2"/>
        <v>7.0413000000000003E-2</v>
      </c>
      <c r="K21">
        <f t="shared" si="2"/>
        <v>9.5320000000000002E-2</v>
      </c>
      <c r="L21">
        <f t="shared" si="2"/>
        <v>0.14435100000000001</v>
      </c>
      <c r="M21" t="e">
        <f t="shared" si="2"/>
        <v>#VALUE!</v>
      </c>
      <c r="N21" t="e">
        <f t="shared" si="2"/>
        <v>#VALUE!</v>
      </c>
      <c r="O21" t="e">
        <f t="shared" si="2"/>
        <v>#VALUE!</v>
      </c>
      <c r="P21" t="e">
        <f t="shared" si="2"/>
        <v>#VALUE!</v>
      </c>
      <c r="Q21" t="e">
        <f t="shared" si="2"/>
        <v>#VALUE!</v>
      </c>
      <c r="R21" t="e">
        <f t="shared" si="0"/>
        <v>#VALUE!</v>
      </c>
      <c r="S21" t="e">
        <f t="shared" si="0"/>
        <v>#VALUE!</v>
      </c>
      <c r="T21" t="e">
        <f t="shared" si="0"/>
        <v>#VALUE!</v>
      </c>
      <c r="U21">
        <f t="shared" si="0"/>
        <v>0.10543</v>
      </c>
      <c r="V21" t="e">
        <f t="shared" si="0"/>
        <v>#VALUE!</v>
      </c>
      <c r="W21" t="e">
        <f t="shared" si="0"/>
        <v>#VALUE!</v>
      </c>
      <c r="X21" t="e">
        <f t="shared" si="0"/>
        <v>#VALUE!</v>
      </c>
      <c r="Y21">
        <f t="shared" si="0"/>
        <v>7.5133000000000005E-2</v>
      </c>
      <c r="Z21">
        <f t="shared" si="0"/>
        <v>3.6770999999999998E-2</v>
      </c>
      <c r="AA21">
        <f t="shared" si="0"/>
        <v>5.8499000000000002E-2</v>
      </c>
      <c r="AB21">
        <f t="shared" si="0"/>
        <v>1.5587E-2</v>
      </c>
      <c r="AC21">
        <f t="shared" si="0"/>
        <v>1.9217000000000001E-2</v>
      </c>
      <c r="AD21" t="e">
        <f t="shared" si="0"/>
        <v>#VALUE!</v>
      </c>
      <c r="AE21" t="e">
        <f t="shared" si="0"/>
        <v>#VALUE!</v>
      </c>
      <c r="AF21" t="e">
        <f t="shared" si="0"/>
        <v>#VALUE!</v>
      </c>
      <c r="AG21" t="e">
        <f t="shared" si="0"/>
        <v>#VALUE!</v>
      </c>
      <c r="AH21" t="e">
        <f t="shared" si="0"/>
        <v>#VALUE!</v>
      </c>
      <c r="AI21" t="e">
        <f t="shared" si="0"/>
        <v>#VALUE!</v>
      </c>
      <c r="AJ21" t="e">
        <f t="shared" si="0"/>
        <v>#VALUE!</v>
      </c>
      <c r="AK21" t="e">
        <f t="shared" si="0"/>
        <v>#VALUE!</v>
      </c>
      <c r="AL21" t="e">
        <f t="shared" si="0"/>
        <v>#VALUE!</v>
      </c>
      <c r="AM21" t="e">
        <f t="shared" si="0"/>
        <v>#VALUE!</v>
      </c>
      <c r="AN21" t="e">
        <f t="shared" si="0"/>
        <v>#VALUE!</v>
      </c>
      <c r="AO21" t="e">
        <f t="shared" si="0"/>
        <v>#VALUE!</v>
      </c>
      <c r="AP21" t="e">
        <f t="shared" si="0"/>
        <v>#VALUE!</v>
      </c>
      <c r="AQ21" t="e">
        <f t="shared" si="0"/>
        <v>#VALUE!</v>
      </c>
      <c r="AR21" t="e">
        <f t="shared" si="0"/>
        <v>#VALUE!</v>
      </c>
      <c r="AS21" t="e">
        <f t="shared" si="0"/>
        <v>#VALUE!</v>
      </c>
      <c r="AT21" t="e">
        <f t="shared" si="0"/>
        <v>#VALUE!</v>
      </c>
      <c r="AU21" t="e">
        <f t="shared" si="0"/>
        <v>#VALUE!</v>
      </c>
      <c r="AV21" t="e">
        <f t="shared" si="0"/>
        <v>#VALUE!</v>
      </c>
      <c r="AW21" t="e">
        <f t="shared" si="0"/>
        <v>#VALUE!</v>
      </c>
      <c r="AX21" t="e">
        <f t="shared" si="0"/>
        <v>#VALUE!</v>
      </c>
      <c r="AY21">
        <f t="shared" si="0"/>
        <v>0</v>
      </c>
      <c r="AZ21">
        <f t="shared" si="0"/>
        <v>7.0898000000000003E-2</v>
      </c>
      <c r="BA21">
        <f t="shared" si="0"/>
        <v>0.15296999999999999</v>
      </c>
      <c r="BB21" t="e">
        <f t="shared" si="0"/>
        <v>#VALUE!</v>
      </c>
      <c r="BC21" t="e">
        <f t="shared" si="0"/>
        <v>#VALUE!</v>
      </c>
      <c r="BD21" t="e">
        <f t="shared" si="0"/>
        <v>#VALUE!</v>
      </c>
      <c r="BE21" t="e">
        <f t="shared" si="0"/>
        <v>#VALUE!</v>
      </c>
      <c r="BF21" t="e">
        <f t="shared" si="0"/>
        <v>#VALUE!</v>
      </c>
      <c r="BG21">
        <f t="shared" si="0"/>
        <v>0</v>
      </c>
      <c r="BH21" t="e">
        <f t="shared" si="0"/>
        <v>#VALUE!</v>
      </c>
      <c r="BI21" t="e">
        <f t="shared" si="0"/>
        <v>#VALUE!</v>
      </c>
      <c r="BJ21" t="e">
        <f t="shared" si="0"/>
        <v>#VALUE!</v>
      </c>
      <c r="BK21">
        <f t="shared" si="0"/>
        <v>6.2798999999999994E-2</v>
      </c>
      <c r="BL21" t="e">
        <f t="shared" si="0"/>
        <v>#VALUE!</v>
      </c>
      <c r="BM21" t="e">
        <f t="shared" si="0"/>
        <v>#VALUE!</v>
      </c>
      <c r="BN21">
        <f t="shared" si="0"/>
        <v>3.2876000000000002E-2</v>
      </c>
      <c r="BO21">
        <f t="shared" si="1"/>
        <v>1.308E-2</v>
      </c>
      <c r="BP21">
        <f t="shared" si="1"/>
        <v>3.6861999999999999E-2</v>
      </c>
      <c r="BQ21">
        <f t="shared" si="1"/>
        <v>1.4115000000000001E-2</v>
      </c>
      <c r="BR21" t="e">
        <f t="shared" si="1"/>
        <v>#VALUE!</v>
      </c>
      <c r="BS21" t="e">
        <f t="shared" si="1"/>
        <v>#VALUE!</v>
      </c>
      <c r="BT21" t="e">
        <f t="shared" si="1"/>
        <v>#VALUE!</v>
      </c>
      <c r="BU21" t="e">
        <f t="shared" si="1"/>
        <v>#VALUE!</v>
      </c>
      <c r="BV21" t="e">
        <f t="shared" si="1"/>
        <v>#VALUE!</v>
      </c>
      <c r="BW21" t="e">
        <f t="shared" si="1"/>
        <v>#VALUE!</v>
      </c>
      <c r="BX21" t="e">
        <f t="shared" si="1"/>
        <v>#VALUE!</v>
      </c>
      <c r="BY21" t="e">
        <f t="shared" si="1"/>
        <v>#VALUE!</v>
      </c>
      <c r="BZ21" t="e">
        <f t="shared" si="1"/>
        <v>#VALUE!</v>
      </c>
      <c r="CA21" t="e">
        <f t="shared" si="1"/>
        <v>#VALUE!</v>
      </c>
      <c r="CB21" t="e">
        <f t="shared" si="1"/>
        <v>#VALUE!</v>
      </c>
      <c r="CC21" t="e">
        <f t="shared" si="1"/>
        <v>#VALUE!</v>
      </c>
    </row>
    <row r="22" spans="1:81" ht="15.75" x14ac:dyDescent="0.25">
      <c r="A22" s="2" t="s">
        <v>85</v>
      </c>
      <c r="B22" t="e">
        <f t="shared" si="2"/>
        <v>#VALUE!</v>
      </c>
      <c r="C22">
        <f t="shared" ref="C22:BN25" si="3">+C4/1000000</f>
        <v>2.0671999999999999E-2</v>
      </c>
      <c r="D22">
        <f t="shared" si="3"/>
        <v>3.0669999999999998E-3</v>
      </c>
      <c r="E22">
        <f t="shared" si="3"/>
        <v>2.2469999999999999E-3</v>
      </c>
      <c r="F22" t="e">
        <f t="shared" si="3"/>
        <v>#VALUE!</v>
      </c>
      <c r="G22" t="e">
        <f t="shared" si="3"/>
        <v>#VALUE!</v>
      </c>
      <c r="H22" t="e">
        <f t="shared" si="3"/>
        <v>#VALUE!</v>
      </c>
      <c r="I22">
        <f t="shared" si="3"/>
        <v>2.1465000000000001E-2</v>
      </c>
      <c r="J22" t="e">
        <f t="shared" si="3"/>
        <v>#VALUE!</v>
      </c>
      <c r="K22" t="e">
        <f t="shared" si="3"/>
        <v>#VALUE!</v>
      </c>
      <c r="L22" t="e">
        <f t="shared" si="3"/>
        <v>#VALUE!</v>
      </c>
      <c r="M22">
        <f t="shared" si="3"/>
        <v>1.6955000000000001E-2</v>
      </c>
      <c r="N22" t="e">
        <f t="shared" si="3"/>
        <v>#VALUE!</v>
      </c>
      <c r="O22" t="e">
        <f t="shared" si="3"/>
        <v>#VALUE!</v>
      </c>
      <c r="P22" t="e">
        <f t="shared" si="3"/>
        <v>#VALUE!</v>
      </c>
      <c r="Q22">
        <f t="shared" si="3"/>
        <v>8.4770000000000002E-3</v>
      </c>
      <c r="R22" t="e">
        <f t="shared" si="3"/>
        <v>#VALUE!</v>
      </c>
      <c r="S22">
        <f t="shared" si="3"/>
        <v>1.4732E-2</v>
      </c>
      <c r="T22" t="e">
        <f t="shared" si="3"/>
        <v>#VALUE!</v>
      </c>
      <c r="U22" t="e">
        <f t="shared" si="3"/>
        <v>#VALUE!</v>
      </c>
      <c r="V22" t="e">
        <f t="shared" si="3"/>
        <v>#VALUE!</v>
      </c>
      <c r="W22">
        <f t="shared" si="3"/>
        <v>1.0454E-2</v>
      </c>
      <c r="X22" t="e">
        <f t="shared" si="3"/>
        <v>#VALUE!</v>
      </c>
      <c r="Y22" t="e">
        <f t="shared" si="3"/>
        <v>#VALUE!</v>
      </c>
      <c r="Z22" t="e">
        <f t="shared" si="3"/>
        <v>#VALUE!</v>
      </c>
      <c r="AA22">
        <f t="shared" si="3"/>
        <v>5.8840000000000003E-3</v>
      </c>
      <c r="AB22" t="e">
        <f t="shared" si="3"/>
        <v>#VALUE!</v>
      </c>
      <c r="AC22" t="e">
        <f t="shared" si="3"/>
        <v>#VALUE!</v>
      </c>
      <c r="AD22" t="e">
        <f t="shared" si="3"/>
        <v>#VALUE!</v>
      </c>
      <c r="AE22">
        <f t="shared" si="3"/>
        <v>1.0274E-2</v>
      </c>
      <c r="AF22" t="e">
        <f t="shared" si="3"/>
        <v>#VALUE!</v>
      </c>
      <c r="AG22" t="e">
        <f t="shared" si="3"/>
        <v>#VALUE!</v>
      </c>
      <c r="AH22" t="e">
        <f t="shared" si="3"/>
        <v>#VALUE!</v>
      </c>
      <c r="AI22" t="e">
        <f t="shared" si="3"/>
        <v>#VALUE!</v>
      </c>
      <c r="AJ22" t="e">
        <f t="shared" si="3"/>
        <v>#VALUE!</v>
      </c>
      <c r="AK22">
        <f t="shared" si="3"/>
        <v>1.1042E-2</v>
      </c>
      <c r="AL22" t="e">
        <f t="shared" si="3"/>
        <v>#VALUE!</v>
      </c>
      <c r="AM22" t="e">
        <f t="shared" si="3"/>
        <v>#VALUE!</v>
      </c>
      <c r="AN22" t="e">
        <f t="shared" si="3"/>
        <v>#VALUE!</v>
      </c>
      <c r="AO22" t="e">
        <f t="shared" si="3"/>
        <v>#VALUE!</v>
      </c>
      <c r="AP22" t="e">
        <f t="shared" si="3"/>
        <v>#VALUE!</v>
      </c>
      <c r="AQ22">
        <f t="shared" si="3"/>
        <v>1.0902999999999999E-2</v>
      </c>
      <c r="AR22" t="e">
        <f t="shared" si="3"/>
        <v>#VALUE!</v>
      </c>
      <c r="AS22" t="e">
        <f t="shared" si="3"/>
        <v>#VALUE!</v>
      </c>
      <c r="AT22" t="e">
        <f t="shared" si="3"/>
        <v>#VALUE!</v>
      </c>
      <c r="AU22" t="e">
        <f t="shared" si="3"/>
        <v>#VALUE!</v>
      </c>
      <c r="AV22" t="e">
        <f t="shared" si="3"/>
        <v>#VALUE!</v>
      </c>
      <c r="AW22">
        <f t="shared" si="3"/>
        <v>1.0599000000000001E-2</v>
      </c>
      <c r="AX22" t="e">
        <f t="shared" si="3"/>
        <v>#VALUE!</v>
      </c>
      <c r="AY22">
        <f t="shared" si="3"/>
        <v>1.6077000000000001E-2</v>
      </c>
      <c r="AZ22">
        <f t="shared" si="3"/>
        <v>1.0095E-2</v>
      </c>
      <c r="BA22" t="e">
        <f t="shared" si="3"/>
        <v>#VALUE!</v>
      </c>
      <c r="BB22" t="e">
        <f t="shared" si="3"/>
        <v>#VALUE!</v>
      </c>
      <c r="BC22" t="e">
        <f t="shared" si="3"/>
        <v>#VALUE!</v>
      </c>
      <c r="BD22" t="e">
        <f t="shared" si="3"/>
        <v>#VALUE!</v>
      </c>
      <c r="BE22">
        <f t="shared" si="3"/>
        <v>5.1580000000000003E-3</v>
      </c>
      <c r="BF22" t="e">
        <f t="shared" si="3"/>
        <v>#VALUE!</v>
      </c>
      <c r="BG22">
        <f t="shared" si="3"/>
        <v>8.796E-3</v>
      </c>
      <c r="BH22" t="e">
        <f t="shared" si="3"/>
        <v>#VALUE!</v>
      </c>
      <c r="BI22" t="e">
        <f t="shared" si="3"/>
        <v>#VALUE!</v>
      </c>
      <c r="BJ22" t="e">
        <f t="shared" si="3"/>
        <v>#VALUE!</v>
      </c>
      <c r="BK22">
        <f t="shared" si="3"/>
        <v>3.4937000000000003E-2</v>
      </c>
      <c r="BL22" t="e">
        <f t="shared" si="3"/>
        <v>#VALUE!</v>
      </c>
      <c r="BM22" t="e">
        <f t="shared" si="3"/>
        <v>#VALUE!</v>
      </c>
      <c r="BN22" t="e">
        <f t="shared" si="3"/>
        <v>#VALUE!</v>
      </c>
      <c r="BO22">
        <f t="shared" si="1"/>
        <v>4.7359999999999998E-3</v>
      </c>
      <c r="BP22" t="e">
        <f t="shared" si="1"/>
        <v>#VALUE!</v>
      </c>
      <c r="BQ22" t="e">
        <f t="shared" si="1"/>
        <v>#VALUE!</v>
      </c>
      <c r="BR22" t="e">
        <f t="shared" si="1"/>
        <v>#VALUE!</v>
      </c>
      <c r="BS22" t="e">
        <f t="shared" si="1"/>
        <v>#VALUE!</v>
      </c>
      <c r="BT22" t="e">
        <f t="shared" si="1"/>
        <v>#VALUE!</v>
      </c>
      <c r="BU22">
        <f t="shared" si="1"/>
        <v>7.2740000000000001E-3</v>
      </c>
      <c r="BV22" t="e">
        <f t="shared" si="1"/>
        <v>#VALUE!</v>
      </c>
      <c r="BW22">
        <f t="shared" si="1"/>
        <v>1.7915E-2</v>
      </c>
      <c r="BX22" t="e">
        <f t="shared" si="1"/>
        <v>#VALUE!</v>
      </c>
      <c r="BY22" t="e">
        <f t="shared" si="1"/>
        <v>#VALUE!</v>
      </c>
      <c r="BZ22" t="e">
        <f t="shared" si="1"/>
        <v>#VALUE!</v>
      </c>
      <c r="CA22">
        <f t="shared" si="1"/>
        <v>9.8799999999999999E-3</v>
      </c>
      <c r="CB22" t="e">
        <f t="shared" si="1"/>
        <v>#VALUE!</v>
      </c>
      <c r="CC22" t="e">
        <f t="shared" si="1"/>
        <v>#VALUE!</v>
      </c>
    </row>
    <row r="23" spans="1:81" ht="15.75" x14ac:dyDescent="0.25">
      <c r="A23" s="2" t="s">
        <v>86</v>
      </c>
      <c r="B23" t="e">
        <f t="shared" si="2"/>
        <v>#VALUE!</v>
      </c>
      <c r="C23">
        <f t="shared" si="3"/>
        <v>0.160827</v>
      </c>
      <c r="D23" t="e">
        <f t="shared" si="3"/>
        <v>#VALUE!</v>
      </c>
      <c r="E23" t="e">
        <f t="shared" si="3"/>
        <v>#VALUE!</v>
      </c>
      <c r="F23" t="e">
        <f t="shared" si="3"/>
        <v>#VALUE!</v>
      </c>
      <c r="G23" t="e">
        <f t="shared" si="3"/>
        <v>#VALUE!</v>
      </c>
      <c r="H23" t="e">
        <f t="shared" si="3"/>
        <v>#VALUE!</v>
      </c>
      <c r="I23">
        <f t="shared" si="3"/>
        <v>0.244759</v>
      </c>
      <c r="J23" t="e">
        <f t="shared" si="3"/>
        <v>#VALUE!</v>
      </c>
      <c r="K23" t="e">
        <f t="shared" si="3"/>
        <v>#VALUE!</v>
      </c>
      <c r="L23" t="e">
        <f t="shared" si="3"/>
        <v>#VALUE!</v>
      </c>
      <c r="M23">
        <f t="shared" si="3"/>
        <v>0.13103600000000001</v>
      </c>
      <c r="N23" t="e">
        <f t="shared" si="3"/>
        <v>#VALUE!</v>
      </c>
      <c r="O23" t="e">
        <f t="shared" si="3"/>
        <v>#VALUE!</v>
      </c>
      <c r="P23" t="e">
        <f t="shared" si="3"/>
        <v>#VALUE!</v>
      </c>
      <c r="Q23">
        <f t="shared" si="3"/>
        <v>7.3645000000000002E-2</v>
      </c>
      <c r="R23" t="e">
        <f t="shared" si="3"/>
        <v>#VALUE!</v>
      </c>
      <c r="S23">
        <f t="shared" si="3"/>
        <v>0.26692900000000003</v>
      </c>
      <c r="T23" t="e">
        <f t="shared" si="3"/>
        <v>#VALUE!</v>
      </c>
      <c r="U23" t="e">
        <f t="shared" si="3"/>
        <v>#VALUE!</v>
      </c>
      <c r="V23" t="e">
        <f t="shared" si="3"/>
        <v>#VALUE!</v>
      </c>
      <c r="W23">
        <f t="shared" si="3"/>
        <v>4.1409000000000001E-2</v>
      </c>
      <c r="X23" t="e">
        <f t="shared" si="3"/>
        <v>#VALUE!</v>
      </c>
      <c r="Y23" t="e">
        <f t="shared" si="3"/>
        <v>#VALUE!</v>
      </c>
      <c r="Z23" t="e">
        <f t="shared" si="3"/>
        <v>#VALUE!</v>
      </c>
      <c r="AA23">
        <f t="shared" si="3"/>
        <v>4.6049E-2</v>
      </c>
      <c r="AB23" t="e">
        <f t="shared" si="3"/>
        <v>#VALUE!</v>
      </c>
      <c r="AC23" t="e">
        <f t="shared" si="3"/>
        <v>#VALUE!</v>
      </c>
      <c r="AD23" t="e">
        <f t="shared" si="3"/>
        <v>#VALUE!</v>
      </c>
      <c r="AE23">
        <f t="shared" si="3"/>
        <v>8.0016000000000004E-2</v>
      </c>
      <c r="AF23" t="e">
        <f t="shared" si="3"/>
        <v>#VALUE!</v>
      </c>
      <c r="AG23" t="e">
        <f t="shared" si="3"/>
        <v>#VALUE!</v>
      </c>
      <c r="AH23" t="e">
        <f t="shared" si="3"/>
        <v>#VALUE!</v>
      </c>
      <c r="AI23" t="e">
        <f t="shared" si="3"/>
        <v>#VALUE!</v>
      </c>
      <c r="AJ23" t="e">
        <f t="shared" si="3"/>
        <v>#VALUE!</v>
      </c>
      <c r="AK23">
        <f t="shared" si="3"/>
        <v>7.4981000000000006E-2</v>
      </c>
      <c r="AL23" t="e">
        <f t="shared" si="3"/>
        <v>#VALUE!</v>
      </c>
      <c r="AM23" t="e">
        <f t="shared" si="3"/>
        <v>#VALUE!</v>
      </c>
      <c r="AN23" t="e">
        <f t="shared" si="3"/>
        <v>#VALUE!</v>
      </c>
      <c r="AO23" t="e">
        <f t="shared" si="3"/>
        <v>#VALUE!</v>
      </c>
      <c r="AP23" t="e">
        <f t="shared" si="3"/>
        <v>#VALUE!</v>
      </c>
      <c r="AQ23">
        <f t="shared" si="3"/>
        <v>0.17030999999999999</v>
      </c>
      <c r="AR23" t="e">
        <f t="shared" si="3"/>
        <v>#VALUE!</v>
      </c>
      <c r="AS23" t="e">
        <f t="shared" si="3"/>
        <v>#VALUE!</v>
      </c>
      <c r="AT23" t="e">
        <f t="shared" si="3"/>
        <v>#VALUE!</v>
      </c>
      <c r="AU23" t="e">
        <f t="shared" si="3"/>
        <v>#VALUE!</v>
      </c>
      <c r="AV23" t="e">
        <f t="shared" si="3"/>
        <v>#VALUE!</v>
      </c>
      <c r="AW23">
        <f t="shared" si="3"/>
        <v>0.16695199999999999</v>
      </c>
      <c r="AX23" t="e">
        <f t="shared" si="3"/>
        <v>#VALUE!</v>
      </c>
      <c r="AY23">
        <f t="shared" si="3"/>
        <v>0.314529</v>
      </c>
      <c r="AZ23" t="e">
        <f t="shared" si="3"/>
        <v>#VALUE!</v>
      </c>
      <c r="BA23" t="e">
        <f t="shared" si="3"/>
        <v>#VALUE!</v>
      </c>
      <c r="BB23" t="e">
        <f t="shared" si="3"/>
        <v>#VALUE!</v>
      </c>
      <c r="BC23" t="e">
        <f t="shared" si="3"/>
        <v>#VALUE!</v>
      </c>
      <c r="BD23" t="e">
        <f t="shared" si="3"/>
        <v>#VALUE!</v>
      </c>
      <c r="BE23">
        <f t="shared" si="3"/>
        <v>2.4886999999999999E-2</v>
      </c>
      <c r="BF23" t="e">
        <f t="shared" si="3"/>
        <v>#VALUE!</v>
      </c>
      <c r="BG23">
        <f t="shared" si="3"/>
        <v>9.0465000000000004E-2</v>
      </c>
      <c r="BH23" t="e">
        <f t="shared" si="3"/>
        <v>#VALUE!</v>
      </c>
      <c r="BI23" t="e">
        <f t="shared" si="3"/>
        <v>#VALUE!</v>
      </c>
      <c r="BJ23" t="e">
        <f t="shared" si="3"/>
        <v>#VALUE!</v>
      </c>
      <c r="BK23">
        <f t="shared" si="3"/>
        <v>0.13384699999999999</v>
      </c>
      <c r="BL23" t="e">
        <f t="shared" si="3"/>
        <v>#VALUE!</v>
      </c>
      <c r="BM23" t="e">
        <f t="shared" si="3"/>
        <v>#VALUE!</v>
      </c>
      <c r="BN23" t="e">
        <f t="shared" si="3"/>
        <v>#VALUE!</v>
      </c>
      <c r="BO23">
        <f t="shared" si="1"/>
        <v>4.6801000000000002E-2</v>
      </c>
      <c r="BP23" t="e">
        <f t="shared" si="1"/>
        <v>#VALUE!</v>
      </c>
      <c r="BQ23" t="e">
        <f t="shared" si="1"/>
        <v>#VALUE!</v>
      </c>
      <c r="BR23" t="e">
        <f t="shared" si="1"/>
        <v>#VALUE!</v>
      </c>
      <c r="BS23" t="e">
        <f t="shared" si="1"/>
        <v>#VALUE!</v>
      </c>
      <c r="BT23" t="e">
        <f t="shared" si="1"/>
        <v>#VALUE!</v>
      </c>
      <c r="BU23">
        <f t="shared" si="1"/>
        <v>6.4809999999999998E-3</v>
      </c>
      <c r="BV23" t="e">
        <f t="shared" si="1"/>
        <v>#VALUE!</v>
      </c>
      <c r="BW23">
        <f t="shared" si="1"/>
        <v>0.128966</v>
      </c>
      <c r="BX23" t="e">
        <f t="shared" si="1"/>
        <v>#VALUE!</v>
      </c>
      <c r="BY23" t="e">
        <f t="shared" si="1"/>
        <v>#VALUE!</v>
      </c>
      <c r="BZ23" t="e">
        <f t="shared" si="1"/>
        <v>#VALUE!</v>
      </c>
      <c r="CA23">
        <f t="shared" si="1"/>
        <v>4.5680999999999999E-2</v>
      </c>
      <c r="CB23" t="e">
        <f t="shared" si="1"/>
        <v>#VALUE!</v>
      </c>
      <c r="CC23" t="e">
        <f t="shared" si="1"/>
        <v>#VALUE!</v>
      </c>
    </row>
    <row r="24" spans="1:81" ht="15.75" x14ac:dyDescent="0.25">
      <c r="A24" s="2" t="s">
        <v>87</v>
      </c>
      <c r="B24" t="e">
        <f t="shared" si="2"/>
        <v>#VALUE!</v>
      </c>
      <c r="C24">
        <f t="shared" si="3"/>
        <v>9.5219999999999992E-3</v>
      </c>
      <c r="D24" t="e">
        <f t="shared" si="3"/>
        <v>#VALUE!</v>
      </c>
      <c r="E24" t="e">
        <f t="shared" si="3"/>
        <v>#VALUE!</v>
      </c>
      <c r="F24" t="e">
        <f t="shared" si="3"/>
        <v>#VALUE!</v>
      </c>
      <c r="G24" t="e">
        <f t="shared" si="3"/>
        <v>#VALUE!</v>
      </c>
      <c r="H24" t="e">
        <f t="shared" si="3"/>
        <v>#VALUE!</v>
      </c>
      <c r="I24">
        <f t="shared" si="3"/>
        <v>2.1950000000000001E-2</v>
      </c>
      <c r="J24" t="e">
        <f t="shared" si="3"/>
        <v>#VALUE!</v>
      </c>
      <c r="K24" t="e">
        <f t="shared" si="3"/>
        <v>#VALUE!</v>
      </c>
      <c r="L24" t="e">
        <f t="shared" si="3"/>
        <v>#VALUE!</v>
      </c>
      <c r="M24">
        <f t="shared" si="3"/>
        <v>1.3235E-2</v>
      </c>
      <c r="N24" t="e">
        <f t="shared" si="3"/>
        <v>#VALUE!</v>
      </c>
      <c r="O24" t="e">
        <f t="shared" si="3"/>
        <v>#VALUE!</v>
      </c>
      <c r="P24" t="e">
        <f t="shared" si="3"/>
        <v>#VALUE!</v>
      </c>
      <c r="Q24">
        <f t="shared" si="3"/>
        <v>6.2310000000000004E-3</v>
      </c>
      <c r="R24" t="e">
        <f t="shared" si="3"/>
        <v>#VALUE!</v>
      </c>
      <c r="S24">
        <f t="shared" si="3"/>
        <v>2.6712E-2</v>
      </c>
      <c r="T24" t="e">
        <f t="shared" si="3"/>
        <v>#VALUE!</v>
      </c>
      <c r="U24" t="e">
        <f t="shared" si="3"/>
        <v>#VALUE!</v>
      </c>
      <c r="V24" t="e">
        <f t="shared" si="3"/>
        <v>#VALUE!</v>
      </c>
      <c r="W24">
        <f t="shared" si="3"/>
        <v>4.2500000000000003E-3</v>
      </c>
      <c r="X24" t="e">
        <f t="shared" si="3"/>
        <v>#VALUE!</v>
      </c>
      <c r="Y24" t="e">
        <f t="shared" si="3"/>
        <v>#VALUE!</v>
      </c>
      <c r="Z24" t="e">
        <f t="shared" si="3"/>
        <v>#VALUE!</v>
      </c>
      <c r="AA24">
        <f t="shared" si="3"/>
        <v>3.5109999999999998E-3</v>
      </c>
      <c r="AB24" t="e">
        <f t="shared" si="3"/>
        <v>#VALUE!</v>
      </c>
      <c r="AC24" t="e">
        <f t="shared" si="3"/>
        <v>#VALUE!</v>
      </c>
      <c r="AD24" t="e">
        <f t="shared" si="3"/>
        <v>#VALUE!</v>
      </c>
      <c r="AE24">
        <f t="shared" si="3"/>
        <v>1.9375E-2</v>
      </c>
      <c r="AF24" t="e">
        <f t="shared" si="3"/>
        <v>#VALUE!</v>
      </c>
      <c r="AG24" t="e">
        <f t="shared" si="3"/>
        <v>#VALUE!</v>
      </c>
      <c r="AH24" t="e">
        <f t="shared" si="3"/>
        <v>#VALUE!</v>
      </c>
      <c r="AI24" t="e">
        <f t="shared" si="3"/>
        <v>#VALUE!</v>
      </c>
      <c r="AJ24" t="e">
        <f t="shared" si="3"/>
        <v>#VALUE!</v>
      </c>
      <c r="AK24">
        <f t="shared" si="3"/>
        <v>7.6290000000000004E-3</v>
      </c>
      <c r="AL24">
        <f t="shared" si="3"/>
        <v>2.0100000000000001E-3</v>
      </c>
      <c r="AM24">
        <f t="shared" si="3"/>
        <v>1.477E-3</v>
      </c>
      <c r="AN24">
        <f t="shared" si="3"/>
        <v>4.169E-3</v>
      </c>
      <c r="AO24" t="e">
        <f t="shared" si="3"/>
        <v>#VALUE!</v>
      </c>
      <c r="AP24" t="e">
        <f t="shared" si="3"/>
        <v>#VALUE!</v>
      </c>
      <c r="AQ24">
        <f t="shared" si="3"/>
        <v>1.7691999999999999E-2</v>
      </c>
      <c r="AR24" t="e">
        <f t="shared" si="3"/>
        <v>#VALUE!</v>
      </c>
      <c r="AS24" t="e">
        <f t="shared" si="3"/>
        <v>#VALUE!</v>
      </c>
      <c r="AT24" t="e">
        <f t="shared" si="3"/>
        <v>#VALUE!</v>
      </c>
      <c r="AU24" t="e">
        <f t="shared" si="3"/>
        <v>#VALUE!</v>
      </c>
      <c r="AV24" t="e">
        <f t="shared" si="3"/>
        <v>#VALUE!</v>
      </c>
      <c r="AW24">
        <f t="shared" si="3"/>
        <v>1.8457999999999999E-2</v>
      </c>
      <c r="AX24" t="e">
        <f t="shared" si="3"/>
        <v>#VALUE!</v>
      </c>
      <c r="AY24">
        <f t="shared" si="3"/>
        <v>1.5217E-2</v>
      </c>
      <c r="AZ24" t="e">
        <f t="shared" si="3"/>
        <v>#VALUE!</v>
      </c>
      <c r="BA24" t="e">
        <f t="shared" si="3"/>
        <v>#VALUE!</v>
      </c>
      <c r="BB24" t="e">
        <f t="shared" si="3"/>
        <v>#VALUE!</v>
      </c>
      <c r="BC24" t="e">
        <f t="shared" si="3"/>
        <v>#VALUE!</v>
      </c>
      <c r="BD24" t="e">
        <f t="shared" si="3"/>
        <v>#VALUE!</v>
      </c>
      <c r="BE24">
        <f t="shared" si="3"/>
        <v>2.3219999999999998E-3</v>
      </c>
      <c r="BF24" t="e">
        <f t="shared" si="3"/>
        <v>#VALUE!</v>
      </c>
      <c r="BG24">
        <f t="shared" si="3"/>
        <v>9.7129999999999994E-3</v>
      </c>
      <c r="BH24" t="e">
        <f t="shared" si="3"/>
        <v>#VALUE!</v>
      </c>
      <c r="BI24" t="e">
        <f t="shared" si="3"/>
        <v>#VALUE!</v>
      </c>
      <c r="BJ24" t="e">
        <f t="shared" si="3"/>
        <v>#VALUE!</v>
      </c>
      <c r="BK24">
        <f t="shared" si="3"/>
        <v>1.7333000000000001E-2</v>
      </c>
      <c r="BL24" t="e">
        <f t="shared" si="3"/>
        <v>#VALUE!</v>
      </c>
      <c r="BM24" t="e">
        <f t="shared" si="3"/>
        <v>#VALUE!</v>
      </c>
      <c r="BN24" t="e">
        <f t="shared" si="3"/>
        <v>#VALUE!</v>
      </c>
      <c r="BO24">
        <f t="shared" si="1"/>
        <v>3.8860000000000001E-3</v>
      </c>
      <c r="BP24" t="e">
        <f t="shared" si="1"/>
        <v>#VALUE!</v>
      </c>
      <c r="BQ24" t="e">
        <f t="shared" si="1"/>
        <v>#VALUE!</v>
      </c>
      <c r="BR24" t="e">
        <f t="shared" si="1"/>
        <v>#VALUE!</v>
      </c>
      <c r="BS24" t="e">
        <f t="shared" si="1"/>
        <v>#VALUE!</v>
      </c>
      <c r="BT24" t="e">
        <f t="shared" si="1"/>
        <v>#VALUE!</v>
      </c>
      <c r="BU24">
        <f t="shared" si="1"/>
        <v>8.3429999999999997E-3</v>
      </c>
      <c r="BV24" t="e">
        <f t="shared" si="1"/>
        <v>#VALUE!</v>
      </c>
      <c r="BW24">
        <f t="shared" si="1"/>
        <v>8.8090000000000009E-3</v>
      </c>
      <c r="BX24" t="e">
        <f t="shared" si="1"/>
        <v>#VALUE!</v>
      </c>
      <c r="BY24" t="e">
        <f t="shared" si="1"/>
        <v>#VALUE!</v>
      </c>
      <c r="BZ24" t="e">
        <f t="shared" si="1"/>
        <v>#VALUE!</v>
      </c>
      <c r="CA24">
        <f t="shared" si="1"/>
        <v>6.417E-3</v>
      </c>
      <c r="CB24" t="e">
        <f t="shared" si="1"/>
        <v>#VALUE!</v>
      </c>
      <c r="CC24" t="e">
        <f t="shared" si="1"/>
        <v>#VALUE!</v>
      </c>
    </row>
    <row r="25" spans="1:81" ht="15.75" x14ac:dyDescent="0.25">
      <c r="A25" s="2" t="s">
        <v>88</v>
      </c>
      <c r="B25" t="e">
        <f t="shared" si="2"/>
        <v>#VALUE!</v>
      </c>
      <c r="C25">
        <f t="shared" si="3"/>
        <v>4.6500000000000003E-4</v>
      </c>
      <c r="D25">
        <f t="shared" si="3"/>
        <v>7.3899999999999997E-4</v>
      </c>
      <c r="E25">
        <f t="shared" si="3"/>
        <v>7.9799999999999999E-4</v>
      </c>
      <c r="F25">
        <f t="shared" si="3"/>
        <v>1.6200000000000001E-4</v>
      </c>
      <c r="G25">
        <f t="shared" si="3"/>
        <v>2.6499999999999999E-4</v>
      </c>
      <c r="H25">
        <f t="shared" si="3"/>
        <v>4.8700000000000002E-4</v>
      </c>
      <c r="I25" t="e">
        <f t="shared" si="3"/>
        <v>#VALUE!</v>
      </c>
      <c r="J25">
        <f t="shared" si="3"/>
        <v>1.397E-3</v>
      </c>
      <c r="K25">
        <f t="shared" si="3"/>
        <v>7.4899999999999999E-4</v>
      </c>
      <c r="L25">
        <f t="shared" si="3"/>
        <v>7.6000000000000004E-4</v>
      </c>
      <c r="M25" t="e">
        <f t="shared" si="3"/>
        <v>#VALUE!</v>
      </c>
      <c r="N25" t="e">
        <f t="shared" si="3"/>
        <v>#VALUE!</v>
      </c>
      <c r="O25" t="e">
        <f t="shared" si="3"/>
        <v>#VALUE!</v>
      </c>
      <c r="P25" t="e">
        <f t="shared" si="3"/>
        <v>#VALUE!</v>
      </c>
      <c r="Q25" t="e">
        <f t="shared" si="3"/>
        <v>#VALUE!</v>
      </c>
      <c r="R25" t="e">
        <f t="shared" si="3"/>
        <v>#VALUE!</v>
      </c>
      <c r="S25" t="e">
        <f t="shared" si="3"/>
        <v>#VALUE!</v>
      </c>
      <c r="T25" t="e">
        <f t="shared" si="3"/>
        <v>#VALUE!</v>
      </c>
      <c r="U25" t="e">
        <f t="shared" si="3"/>
        <v>#VALUE!</v>
      </c>
      <c r="V25">
        <f t="shared" si="3"/>
        <v>2.1879999999999998E-3</v>
      </c>
      <c r="W25">
        <f t="shared" si="3"/>
        <v>1.511E-3</v>
      </c>
      <c r="X25">
        <f t="shared" si="3"/>
        <v>1.585E-3</v>
      </c>
      <c r="Y25">
        <f t="shared" si="3"/>
        <v>1.9620000000000002E-3</v>
      </c>
      <c r="Z25">
        <f t="shared" si="3"/>
        <v>7.6300000000000001E-4</v>
      </c>
      <c r="AA25" t="e">
        <f t="shared" si="3"/>
        <v>#VALUE!</v>
      </c>
      <c r="AB25">
        <f t="shared" si="3"/>
        <v>9.2400000000000002E-4</v>
      </c>
      <c r="AC25">
        <f t="shared" si="3"/>
        <v>8.4500000000000005E-4</v>
      </c>
      <c r="AD25" t="e">
        <f t="shared" si="3"/>
        <v>#VALUE!</v>
      </c>
      <c r="AE25" t="e">
        <f t="shared" si="3"/>
        <v>#VALUE!</v>
      </c>
      <c r="AF25" t="e">
        <f t="shared" si="3"/>
        <v>#VALUE!</v>
      </c>
      <c r="AG25" t="e">
        <f t="shared" si="3"/>
        <v>#VALUE!</v>
      </c>
      <c r="AH25" t="e">
        <f t="shared" si="3"/>
        <v>#VALUE!</v>
      </c>
      <c r="AI25" t="e">
        <f t="shared" si="3"/>
        <v>#VALUE!</v>
      </c>
      <c r="AJ25" t="e">
        <f t="shared" si="3"/>
        <v>#VALUE!</v>
      </c>
      <c r="AK25">
        <f t="shared" si="3"/>
        <v>4.8057999999999997E-2</v>
      </c>
      <c r="AL25" t="e">
        <f t="shared" si="3"/>
        <v>#VALUE!</v>
      </c>
      <c r="AM25" t="e">
        <f t="shared" si="3"/>
        <v>#VALUE!</v>
      </c>
      <c r="AN25" t="e">
        <f t="shared" si="3"/>
        <v>#VALUE!</v>
      </c>
      <c r="AO25" t="e">
        <f t="shared" si="3"/>
        <v>#VALUE!</v>
      </c>
      <c r="AP25" t="e">
        <f t="shared" si="3"/>
        <v>#VALUE!</v>
      </c>
      <c r="AQ25" t="e">
        <f t="shared" si="3"/>
        <v>#VALUE!</v>
      </c>
      <c r="AR25" t="e">
        <f t="shared" si="3"/>
        <v>#VALUE!</v>
      </c>
      <c r="AS25" t="e">
        <f t="shared" si="3"/>
        <v>#VALUE!</v>
      </c>
      <c r="AT25" t="e">
        <f t="shared" si="3"/>
        <v>#VALUE!</v>
      </c>
      <c r="AU25" t="e">
        <f t="shared" si="3"/>
        <v>#VALUE!</v>
      </c>
      <c r="AV25" t="e">
        <f t="shared" si="3"/>
        <v>#VALUE!</v>
      </c>
      <c r="AW25" t="e">
        <f t="shared" si="3"/>
        <v>#VALUE!</v>
      </c>
      <c r="AX25" t="e">
        <f t="shared" si="3"/>
        <v>#VALUE!</v>
      </c>
      <c r="AY25" t="e">
        <f t="shared" si="3"/>
        <v>#VALUE!</v>
      </c>
      <c r="AZ25" t="e">
        <f t="shared" si="3"/>
        <v>#VALUE!</v>
      </c>
      <c r="BA25" t="e">
        <f t="shared" si="3"/>
        <v>#VALUE!</v>
      </c>
      <c r="BB25" t="e">
        <f t="shared" si="3"/>
        <v>#VALUE!</v>
      </c>
      <c r="BC25" t="e">
        <f t="shared" si="3"/>
        <v>#VALUE!</v>
      </c>
      <c r="BD25" t="e">
        <f t="shared" si="3"/>
        <v>#VALUE!</v>
      </c>
      <c r="BE25" t="e">
        <f t="shared" si="3"/>
        <v>#VALUE!</v>
      </c>
      <c r="BF25" t="e">
        <f t="shared" si="3"/>
        <v>#VALUE!</v>
      </c>
      <c r="BG25" t="e">
        <f t="shared" si="3"/>
        <v>#VALUE!</v>
      </c>
      <c r="BH25" t="e">
        <f t="shared" si="3"/>
        <v>#VALUE!</v>
      </c>
      <c r="BI25" t="e">
        <f t="shared" si="3"/>
        <v>#VALUE!</v>
      </c>
      <c r="BJ25" t="e">
        <f t="shared" si="3"/>
        <v>#VALUE!</v>
      </c>
      <c r="BK25">
        <f t="shared" si="3"/>
        <v>0</v>
      </c>
      <c r="BL25" t="e">
        <f t="shared" si="3"/>
        <v>#VALUE!</v>
      </c>
      <c r="BM25" t="e">
        <f t="shared" si="3"/>
        <v>#VALUE!</v>
      </c>
      <c r="BN25" t="e">
        <f t="shared" ref="BN25:CC28" si="4">+BN7/1000000</f>
        <v>#VALUE!</v>
      </c>
      <c r="BO25">
        <f t="shared" si="4"/>
        <v>0</v>
      </c>
      <c r="BP25" t="e">
        <f t="shared" si="4"/>
        <v>#VALUE!</v>
      </c>
      <c r="BQ25" t="e">
        <f t="shared" si="4"/>
        <v>#VALUE!</v>
      </c>
      <c r="BR25" t="e">
        <f t="shared" si="4"/>
        <v>#VALUE!</v>
      </c>
      <c r="BS25" t="e">
        <f t="shared" si="4"/>
        <v>#VALUE!</v>
      </c>
      <c r="BT25" t="e">
        <f t="shared" si="4"/>
        <v>#VALUE!</v>
      </c>
      <c r="BU25">
        <f t="shared" si="4"/>
        <v>0</v>
      </c>
      <c r="BV25" t="e">
        <f t="shared" si="4"/>
        <v>#VALUE!</v>
      </c>
      <c r="BW25">
        <f t="shared" si="4"/>
        <v>0</v>
      </c>
      <c r="BX25" t="e">
        <f t="shared" si="4"/>
        <v>#VALUE!</v>
      </c>
      <c r="BY25" t="e">
        <f t="shared" si="4"/>
        <v>#VALUE!</v>
      </c>
      <c r="BZ25">
        <f t="shared" si="4"/>
        <v>7.8399999999999997E-4</v>
      </c>
      <c r="CA25">
        <f t="shared" si="4"/>
        <v>1.137E-3</v>
      </c>
      <c r="CB25" t="e">
        <f t="shared" si="4"/>
        <v>#VALUE!</v>
      </c>
      <c r="CC25">
        <f t="shared" si="4"/>
        <v>3.4000000000000002E-4</v>
      </c>
    </row>
    <row r="26" spans="1:81" ht="15.75" x14ac:dyDescent="0.25">
      <c r="A26" s="2" t="s">
        <v>89</v>
      </c>
      <c r="B26" t="e">
        <f t="shared" si="2"/>
        <v>#VALUE!</v>
      </c>
      <c r="C26">
        <f t="shared" ref="C26:BN29" si="5">+C8/1000000</f>
        <v>8.2990000000000008E-3</v>
      </c>
      <c r="D26" t="e">
        <f t="shared" si="5"/>
        <v>#VALUE!</v>
      </c>
      <c r="E26" t="e">
        <f t="shared" si="5"/>
        <v>#VALUE!</v>
      </c>
      <c r="F26" t="e">
        <f t="shared" si="5"/>
        <v>#VALUE!</v>
      </c>
      <c r="G26" t="e">
        <f t="shared" si="5"/>
        <v>#VALUE!</v>
      </c>
      <c r="H26" t="e">
        <f t="shared" si="5"/>
        <v>#VALUE!</v>
      </c>
      <c r="I26">
        <f t="shared" si="5"/>
        <v>0.14940600000000001</v>
      </c>
      <c r="J26" t="e">
        <f t="shared" si="5"/>
        <v>#VALUE!</v>
      </c>
      <c r="K26" t="e">
        <f t="shared" si="5"/>
        <v>#VALUE!</v>
      </c>
      <c r="L26" t="e">
        <f t="shared" si="5"/>
        <v>#VALUE!</v>
      </c>
      <c r="M26">
        <f t="shared" si="5"/>
        <v>8.2944000000000004E-2</v>
      </c>
      <c r="N26" t="e">
        <f t="shared" si="5"/>
        <v>#VALUE!</v>
      </c>
      <c r="O26" t="e">
        <f t="shared" si="5"/>
        <v>#VALUE!</v>
      </c>
      <c r="P26" t="e">
        <f t="shared" si="5"/>
        <v>#VALUE!</v>
      </c>
      <c r="Q26">
        <f t="shared" si="5"/>
        <v>4.4380000000000003E-2</v>
      </c>
      <c r="R26" t="e">
        <f t="shared" si="5"/>
        <v>#VALUE!</v>
      </c>
      <c r="S26">
        <f t="shared" si="5"/>
        <v>0.14110500000000001</v>
      </c>
      <c r="T26" t="e">
        <f t="shared" si="5"/>
        <v>#VALUE!</v>
      </c>
      <c r="U26" t="e">
        <f t="shared" si="5"/>
        <v>#VALUE!</v>
      </c>
      <c r="V26" t="e">
        <f t="shared" si="5"/>
        <v>#VALUE!</v>
      </c>
      <c r="W26">
        <f t="shared" si="5"/>
        <v>2.7688000000000001E-2</v>
      </c>
      <c r="X26" t="e">
        <f t="shared" si="5"/>
        <v>#VALUE!</v>
      </c>
      <c r="Y26" t="e">
        <f t="shared" si="5"/>
        <v>#VALUE!</v>
      </c>
      <c r="Z26" t="e">
        <f t="shared" si="5"/>
        <v>#VALUE!</v>
      </c>
      <c r="AA26">
        <f t="shared" si="5"/>
        <v>2.7303999999999998E-2</v>
      </c>
      <c r="AB26" t="e">
        <f t="shared" si="5"/>
        <v>#VALUE!</v>
      </c>
      <c r="AC26" t="e">
        <f t="shared" si="5"/>
        <v>#VALUE!</v>
      </c>
      <c r="AD26">
        <f t="shared" si="5"/>
        <v>0</v>
      </c>
      <c r="AE26">
        <f t="shared" si="5"/>
        <v>7.9410999999999995E-2</v>
      </c>
      <c r="AF26">
        <f t="shared" si="5"/>
        <v>0</v>
      </c>
      <c r="AG26">
        <f t="shared" si="5"/>
        <v>0</v>
      </c>
      <c r="AH26">
        <f t="shared" si="5"/>
        <v>2.4229999999999998E-3</v>
      </c>
      <c r="AI26">
        <f t="shared" si="5"/>
        <v>3.8300000000000001E-3</v>
      </c>
      <c r="AJ26">
        <f t="shared" si="5"/>
        <v>2.1229999999999999E-3</v>
      </c>
      <c r="AK26" t="e">
        <f t="shared" si="5"/>
        <v>#VALUE!</v>
      </c>
      <c r="AL26" t="e">
        <f t="shared" si="5"/>
        <v>#VALUE!</v>
      </c>
      <c r="AM26" t="e">
        <f t="shared" si="5"/>
        <v>#VALUE!</v>
      </c>
      <c r="AN26" t="e">
        <f t="shared" si="5"/>
        <v>#VALUE!</v>
      </c>
      <c r="AO26">
        <f t="shared" si="5"/>
        <v>1.3370000000000001E-3</v>
      </c>
      <c r="AP26" t="e">
        <f t="shared" si="5"/>
        <v>#VALUE!</v>
      </c>
      <c r="AQ26">
        <f t="shared" si="5"/>
        <v>0.100468</v>
      </c>
      <c r="AR26" t="e">
        <f t="shared" si="5"/>
        <v>#VALUE!</v>
      </c>
      <c r="AS26" t="e">
        <f t="shared" si="5"/>
        <v>#VALUE!</v>
      </c>
      <c r="AT26" t="e">
        <f t="shared" si="5"/>
        <v>#VALUE!</v>
      </c>
      <c r="AU26" t="e">
        <f t="shared" si="5"/>
        <v>#VALUE!</v>
      </c>
      <c r="AV26" t="e">
        <f t="shared" si="5"/>
        <v>#VALUE!</v>
      </c>
      <c r="AW26">
        <f t="shared" si="5"/>
        <v>8.0611000000000002E-2</v>
      </c>
      <c r="AX26" t="e">
        <f t="shared" si="5"/>
        <v>#VALUE!</v>
      </c>
      <c r="AY26">
        <f t="shared" si="5"/>
        <v>0.14951</v>
      </c>
      <c r="AZ26" t="e">
        <f t="shared" si="5"/>
        <v>#VALUE!</v>
      </c>
      <c r="BA26" t="e">
        <f t="shared" si="5"/>
        <v>#VALUE!</v>
      </c>
      <c r="BB26" t="e">
        <f t="shared" si="5"/>
        <v>#VALUE!</v>
      </c>
      <c r="BC26" t="e">
        <f t="shared" si="5"/>
        <v>#VALUE!</v>
      </c>
      <c r="BD26" t="e">
        <f t="shared" si="5"/>
        <v>#VALUE!</v>
      </c>
      <c r="BE26">
        <f t="shared" si="5"/>
        <v>1.4964999999999999E-2</v>
      </c>
      <c r="BF26" t="e">
        <f t="shared" si="5"/>
        <v>#VALUE!</v>
      </c>
      <c r="BG26">
        <f t="shared" si="5"/>
        <v>5.2137999999999997E-2</v>
      </c>
      <c r="BH26" t="e">
        <f t="shared" si="5"/>
        <v>#VALUE!</v>
      </c>
      <c r="BI26" t="e">
        <f t="shared" si="5"/>
        <v>#VALUE!</v>
      </c>
      <c r="BJ26" t="e">
        <f t="shared" si="5"/>
        <v>#VALUE!</v>
      </c>
      <c r="BK26">
        <f t="shared" si="5"/>
        <v>9.5820000000000002E-2</v>
      </c>
      <c r="BL26" t="e">
        <f t="shared" si="5"/>
        <v>#VALUE!</v>
      </c>
      <c r="BM26" t="e">
        <f t="shared" si="5"/>
        <v>#VALUE!</v>
      </c>
      <c r="BN26" t="e">
        <f t="shared" si="5"/>
        <v>#VALUE!</v>
      </c>
      <c r="BO26">
        <f t="shared" si="4"/>
        <v>2.7385E-2</v>
      </c>
      <c r="BP26" t="e">
        <f t="shared" si="4"/>
        <v>#VALUE!</v>
      </c>
      <c r="BQ26" t="e">
        <f t="shared" si="4"/>
        <v>#VALUE!</v>
      </c>
      <c r="BR26" t="e">
        <f t="shared" si="4"/>
        <v>#VALUE!</v>
      </c>
      <c r="BS26" t="e">
        <f t="shared" si="4"/>
        <v>#VALUE!</v>
      </c>
      <c r="BT26" t="e">
        <f t="shared" si="4"/>
        <v>#VALUE!</v>
      </c>
      <c r="BU26">
        <f t="shared" si="4"/>
        <v>4.1723000000000003E-2</v>
      </c>
      <c r="BV26" t="e">
        <f t="shared" si="4"/>
        <v>#VALUE!</v>
      </c>
      <c r="BW26">
        <f t="shared" si="4"/>
        <v>6.5514000000000003E-2</v>
      </c>
      <c r="BX26" t="e">
        <f t="shared" si="4"/>
        <v>#VALUE!</v>
      </c>
      <c r="BY26" t="e">
        <f t="shared" si="4"/>
        <v>#VALUE!</v>
      </c>
      <c r="BZ26" t="e">
        <f t="shared" si="4"/>
        <v>#VALUE!</v>
      </c>
      <c r="CA26">
        <f t="shared" si="4"/>
        <v>3.9245000000000002E-2</v>
      </c>
      <c r="CB26" t="e">
        <f t="shared" si="4"/>
        <v>#VALUE!</v>
      </c>
      <c r="CC26" t="e">
        <f t="shared" si="4"/>
        <v>#VALUE!</v>
      </c>
    </row>
    <row r="27" spans="1:81" ht="15.75" x14ac:dyDescent="0.25">
      <c r="A27" s="2" t="s">
        <v>90</v>
      </c>
      <c r="B27">
        <f t="shared" si="2"/>
        <v>1.7260000000000001E-3</v>
      </c>
      <c r="C27">
        <f t="shared" si="5"/>
        <v>2.003E-3</v>
      </c>
      <c r="D27">
        <f t="shared" si="5"/>
        <v>3.2039999999999998E-3</v>
      </c>
      <c r="E27">
        <f t="shared" si="5"/>
        <v>2.3679999999999999E-3</v>
      </c>
      <c r="F27">
        <f t="shared" si="5"/>
        <v>7.4780000000000003E-3</v>
      </c>
      <c r="G27">
        <f t="shared" si="5"/>
        <v>7.6299999999999996E-3</v>
      </c>
      <c r="H27">
        <f t="shared" si="5"/>
        <v>5.4840000000000002E-3</v>
      </c>
      <c r="I27">
        <f t="shared" si="5"/>
        <v>5.9230000000000003E-3</v>
      </c>
      <c r="J27">
        <f t="shared" si="5"/>
        <v>2.784E-3</v>
      </c>
      <c r="K27">
        <f t="shared" si="5"/>
        <v>8.3999999999999995E-3</v>
      </c>
      <c r="L27">
        <f t="shared" si="5"/>
        <v>8.4829999999999992E-3</v>
      </c>
      <c r="M27">
        <f t="shared" si="5"/>
        <v>4.2979999999999997E-3</v>
      </c>
      <c r="N27">
        <f t="shared" si="5"/>
        <v>4.0159999999999996E-3</v>
      </c>
      <c r="O27">
        <f t="shared" si="5"/>
        <v>4.0940000000000004E-3</v>
      </c>
      <c r="P27">
        <f t="shared" si="5"/>
        <v>7.8930000000000007E-3</v>
      </c>
      <c r="Q27">
        <f t="shared" si="5"/>
        <v>1.1561E-2</v>
      </c>
      <c r="R27">
        <f t="shared" si="5"/>
        <v>2.313E-3</v>
      </c>
      <c r="S27">
        <f t="shared" si="5"/>
        <v>8.4950000000000008E-3</v>
      </c>
      <c r="T27">
        <f t="shared" si="5"/>
        <v>1.2279999999999999E-3</v>
      </c>
      <c r="U27">
        <f t="shared" si="5"/>
        <v>1.5039999999999999E-3</v>
      </c>
      <c r="V27">
        <f t="shared" si="5"/>
        <v>8.4199999999999998E-4</v>
      </c>
      <c r="W27">
        <f t="shared" si="5"/>
        <v>1.572E-3</v>
      </c>
      <c r="X27">
        <f t="shared" si="5"/>
        <v>1.699E-3</v>
      </c>
      <c r="Y27">
        <f t="shared" si="5"/>
        <v>8.1999999999999998E-4</v>
      </c>
      <c r="Z27">
        <f t="shared" si="5"/>
        <v>1.3159999999999999E-3</v>
      </c>
      <c r="AA27">
        <f t="shared" si="5"/>
        <v>5.5500000000000005E-4</v>
      </c>
      <c r="AB27">
        <f t="shared" si="5"/>
        <v>2.2179999999999999E-3</v>
      </c>
      <c r="AC27">
        <f t="shared" si="5"/>
        <v>5.378E-3</v>
      </c>
      <c r="AD27">
        <f t="shared" si="5"/>
        <v>6.7039999999999999E-3</v>
      </c>
      <c r="AE27">
        <f t="shared" si="5"/>
        <v>1.0668E-2</v>
      </c>
      <c r="AF27">
        <f t="shared" si="5"/>
        <v>5.2969999999999996E-3</v>
      </c>
      <c r="AG27">
        <f t="shared" si="5"/>
        <v>5.7210000000000004E-3</v>
      </c>
      <c r="AH27">
        <f t="shared" si="5"/>
        <v>8.5780000000000006E-3</v>
      </c>
      <c r="AI27">
        <f t="shared" si="5"/>
        <v>4.3800000000000002E-3</v>
      </c>
      <c r="AJ27">
        <f t="shared" si="5"/>
        <v>7.5119999999999996E-3</v>
      </c>
      <c r="AK27">
        <f t="shared" si="5"/>
        <v>2.075E-3</v>
      </c>
      <c r="AL27">
        <f t="shared" si="5"/>
        <v>6.1799999999999997E-3</v>
      </c>
      <c r="AM27">
        <f t="shared" si="5"/>
        <v>3.506E-3</v>
      </c>
      <c r="AN27">
        <f t="shared" si="5"/>
        <v>1.0128E-2</v>
      </c>
      <c r="AO27">
        <f t="shared" si="5"/>
        <v>2.6050000000000001E-3</v>
      </c>
      <c r="AP27">
        <f t="shared" si="5"/>
        <v>4.3169999999999997E-3</v>
      </c>
      <c r="AQ27">
        <f t="shared" si="5"/>
        <v>1.2706E-2</v>
      </c>
      <c r="AR27">
        <f t="shared" si="5"/>
        <v>9.0519999999999993E-3</v>
      </c>
      <c r="AS27">
        <f t="shared" si="5"/>
        <v>4.7840000000000001E-3</v>
      </c>
      <c r="AT27">
        <f t="shared" si="5"/>
        <v>7.6420000000000004E-3</v>
      </c>
      <c r="AU27">
        <f t="shared" si="5"/>
        <v>2.441E-3</v>
      </c>
      <c r="AV27">
        <f t="shared" si="5"/>
        <v>2.3180000000000002E-3</v>
      </c>
      <c r="AW27">
        <f t="shared" si="5"/>
        <v>1.516E-3</v>
      </c>
      <c r="AX27">
        <f t="shared" si="5"/>
        <v>6.5319999999999996E-3</v>
      </c>
      <c r="AY27">
        <f t="shared" si="5"/>
        <v>1.3029999999999999E-3</v>
      </c>
      <c r="AZ27">
        <f t="shared" si="5"/>
        <v>7.2259999999999998E-3</v>
      </c>
      <c r="BA27">
        <f t="shared" si="5"/>
        <v>8.9899999999999997E-3</v>
      </c>
      <c r="BB27">
        <f t="shared" si="5"/>
        <v>1.1611E-2</v>
      </c>
      <c r="BC27">
        <f t="shared" si="5"/>
        <v>4.1289999999999999E-3</v>
      </c>
      <c r="BD27">
        <f t="shared" si="5"/>
        <v>9.2599999999999991E-3</v>
      </c>
      <c r="BE27">
        <f t="shared" si="5"/>
        <v>7.6090000000000003E-3</v>
      </c>
      <c r="BF27">
        <f t="shared" si="5"/>
        <v>5.6449999999999998E-3</v>
      </c>
      <c r="BG27">
        <f t="shared" si="5"/>
        <v>7.7099999999999998E-3</v>
      </c>
      <c r="BH27">
        <f t="shared" si="5"/>
        <v>6.3579999999999999E-3</v>
      </c>
      <c r="BI27">
        <f t="shared" si="5"/>
        <v>6.79E-3</v>
      </c>
      <c r="BJ27">
        <f t="shared" si="5"/>
        <v>9.3830000000000007E-3</v>
      </c>
      <c r="BK27">
        <f t="shared" si="5"/>
        <v>6.5459999999999997E-3</v>
      </c>
      <c r="BL27">
        <f t="shared" si="5"/>
        <v>7.8110000000000002E-3</v>
      </c>
      <c r="BM27">
        <f t="shared" si="5"/>
        <v>4.7609999999999996E-3</v>
      </c>
      <c r="BN27">
        <f t="shared" si="5"/>
        <v>3.669E-3</v>
      </c>
      <c r="BO27">
        <f t="shared" si="4"/>
        <v>2.0830000000000002E-3</v>
      </c>
      <c r="BP27">
        <f t="shared" si="4"/>
        <v>4.7629999999999999E-3</v>
      </c>
      <c r="BQ27">
        <f t="shared" si="4"/>
        <v>3.62E-3</v>
      </c>
      <c r="BR27" t="e">
        <f t="shared" si="4"/>
        <v>#VALUE!</v>
      </c>
      <c r="BS27" t="e">
        <f t="shared" si="4"/>
        <v>#VALUE!</v>
      </c>
      <c r="BT27" t="e">
        <f t="shared" si="4"/>
        <v>#VALUE!</v>
      </c>
      <c r="BU27" t="e">
        <f t="shared" si="4"/>
        <v>#VALUE!</v>
      </c>
      <c r="BV27">
        <f t="shared" si="4"/>
        <v>3.7950000000000002E-3</v>
      </c>
      <c r="BW27">
        <f t="shared" si="4"/>
        <v>3.5300000000000002E-3</v>
      </c>
      <c r="BX27">
        <f t="shared" si="4"/>
        <v>4.1939999999999998E-3</v>
      </c>
      <c r="BY27">
        <f t="shared" si="4"/>
        <v>4.4019999999999997E-3</v>
      </c>
      <c r="BZ27">
        <f t="shared" si="4"/>
        <v>5.9829999999999996E-3</v>
      </c>
      <c r="CA27">
        <f t="shared" si="4"/>
        <v>3.405E-3</v>
      </c>
      <c r="CB27">
        <f t="shared" si="4"/>
        <v>1.1018999999999999E-2</v>
      </c>
      <c r="CC27">
        <f t="shared" si="4"/>
        <v>9.2090000000000002E-3</v>
      </c>
    </row>
    <row r="28" spans="1:81" ht="15.75" x14ac:dyDescent="0.25">
      <c r="A28" s="2" t="s">
        <v>91</v>
      </c>
      <c r="B28">
        <f t="shared" si="2"/>
        <v>5.339E-3</v>
      </c>
      <c r="C28">
        <f t="shared" si="5"/>
        <v>5.3270000000000001E-3</v>
      </c>
      <c r="D28">
        <f t="shared" si="5"/>
        <v>3.9360000000000003E-3</v>
      </c>
      <c r="E28">
        <f t="shared" si="5"/>
        <v>3.735E-3</v>
      </c>
      <c r="F28">
        <f t="shared" si="5"/>
        <v>4.9593999999999999E-2</v>
      </c>
      <c r="G28">
        <f t="shared" si="5"/>
        <v>1.3006999999999999E-2</v>
      </c>
      <c r="H28">
        <f t="shared" si="5"/>
        <v>2.5603000000000001E-2</v>
      </c>
      <c r="I28">
        <f t="shared" si="5"/>
        <v>8.4869E-2</v>
      </c>
      <c r="J28">
        <f t="shared" si="5"/>
        <v>5.4000000000000003E-3</v>
      </c>
      <c r="K28">
        <f t="shared" si="5"/>
        <v>9.8169999999999993E-3</v>
      </c>
      <c r="L28">
        <f t="shared" si="5"/>
        <v>8.6149999999999994E-3</v>
      </c>
      <c r="M28">
        <f t="shared" si="5"/>
        <v>5.8500000000000002E-3</v>
      </c>
      <c r="N28">
        <f t="shared" si="5"/>
        <v>2.444E-3</v>
      </c>
      <c r="O28">
        <f t="shared" si="5"/>
        <v>2.8839999999999998E-3</v>
      </c>
      <c r="P28">
        <f t="shared" si="5"/>
        <v>2.931E-3</v>
      </c>
      <c r="Q28">
        <f t="shared" si="5"/>
        <v>1.8484E-2</v>
      </c>
      <c r="R28">
        <f t="shared" si="5"/>
        <v>7.6099999999999996E-4</v>
      </c>
      <c r="S28">
        <f t="shared" si="5"/>
        <v>4.2420000000000001E-3</v>
      </c>
      <c r="T28">
        <f t="shared" si="5"/>
        <v>9.7900000000000005E-4</v>
      </c>
      <c r="U28">
        <f t="shared" si="5"/>
        <v>1.297E-3</v>
      </c>
      <c r="V28">
        <f t="shared" si="5"/>
        <v>2.2339999999999999E-3</v>
      </c>
      <c r="W28">
        <f t="shared" si="5"/>
        <v>2.6909999999999998E-3</v>
      </c>
      <c r="X28">
        <f t="shared" si="5"/>
        <v>1.459E-3</v>
      </c>
      <c r="Y28">
        <f t="shared" si="5"/>
        <v>1.789E-3</v>
      </c>
      <c r="Z28" t="e">
        <f t="shared" si="5"/>
        <v>#VALUE!</v>
      </c>
      <c r="AA28">
        <f t="shared" si="5"/>
        <v>1.7000000000000001E-4</v>
      </c>
      <c r="AB28">
        <f t="shared" si="5"/>
        <v>7.9100000000000004E-4</v>
      </c>
      <c r="AC28">
        <f t="shared" si="5"/>
        <v>9.5299999999999996E-4</v>
      </c>
      <c r="AD28">
        <f t="shared" si="5"/>
        <v>2.3203000000000001E-2</v>
      </c>
      <c r="AE28">
        <f t="shared" si="5"/>
        <v>7.5079999999999999E-3</v>
      </c>
      <c r="AF28">
        <f t="shared" si="5"/>
        <v>8.6420000000000004E-3</v>
      </c>
      <c r="AG28">
        <f t="shared" si="5"/>
        <v>2.5973E-2</v>
      </c>
      <c r="AH28" t="e">
        <f t="shared" si="5"/>
        <v>#VALUE!</v>
      </c>
      <c r="AI28" t="e">
        <f t="shared" si="5"/>
        <v>#VALUE!</v>
      </c>
      <c r="AJ28" t="e">
        <f t="shared" si="5"/>
        <v>#VALUE!</v>
      </c>
      <c r="AK28">
        <f t="shared" si="5"/>
        <v>3.2520000000000001E-3</v>
      </c>
      <c r="AL28">
        <f t="shared" si="5"/>
        <v>2.202E-3</v>
      </c>
      <c r="AM28">
        <f t="shared" si="5"/>
        <v>4.0879999999999996E-3</v>
      </c>
      <c r="AN28">
        <f t="shared" si="5"/>
        <v>1.1081000000000001E-2</v>
      </c>
      <c r="AO28">
        <f t="shared" si="5"/>
        <v>3.607E-3</v>
      </c>
      <c r="AP28">
        <f t="shared" si="5"/>
        <v>2.5769999999999999E-3</v>
      </c>
      <c r="AQ28">
        <f t="shared" si="5"/>
        <v>2.6649999999999998E-3</v>
      </c>
      <c r="AR28">
        <f t="shared" si="5"/>
        <v>2.281E-3</v>
      </c>
      <c r="AS28">
        <f t="shared" si="5"/>
        <v>2.5509999999999999E-3</v>
      </c>
      <c r="AT28">
        <f t="shared" si="5"/>
        <v>2.2759999999999998E-3</v>
      </c>
      <c r="AU28">
        <f t="shared" si="5"/>
        <v>4.5440000000000003E-3</v>
      </c>
      <c r="AV28">
        <f t="shared" si="5"/>
        <v>4.398E-3</v>
      </c>
      <c r="AW28">
        <f t="shared" si="5"/>
        <v>5.1339999999999997E-3</v>
      </c>
      <c r="AX28">
        <f t="shared" si="5"/>
        <v>2.9659999999999999E-3</v>
      </c>
      <c r="AY28">
        <f t="shared" si="5"/>
        <v>5.496E-3</v>
      </c>
      <c r="AZ28">
        <f t="shared" si="5"/>
        <v>5.4260000000000003E-3</v>
      </c>
      <c r="BA28" t="e">
        <f t="shared" si="5"/>
        <v>#VALUE!</v>
      </c>
      <c r="BB28">
        <f t="shared" si="5"/>
        <v>2.0089999999999999E-3</v>
      </c>
      <c r="BC28">
        <f t="shared" si="5"/>
        <v>2.0609999999999999E-3</v>
      </c>
      <c r="BD28">
        <f t="shared" si="5"/>
        <v>3.0739999999999999E-3</v>
      </c>
      <c r="BE28">
        <f t="shared" si="5"/>
        <v>7.2199999999999999E-3</v>
      </c>
      <c r="BF28" t="e">
        <f t="shared" si="5"/>
        <v>#VALUE!</v>
      </c>
      <c r="BG28">
        <f t="shared" si="5"/>
        <v>2.7430000000000002E-3</v>
      </c>
      <c r="BH28">
        <f t="shared" si="5"/>
        <v>1.268E-3</v>
      </c>
      <c r="BI28">
        <f t="shared" si="5"/>
        <v>2.2060000000000001E-3</v>
      </c>
      <c r="BJ28">
        <f t="shared" si="5"/>
        <v>3.444E-3</v>
      </c>
      <c r="BK28">
        <f t="shared" si="5"/>
        <v>3.4380000000000001E-3</v>
      </c>
      <c r="BL28" t="e">
        <f t="shared" si="5"/>
        <v>#VALUE!</v>
      </c>
      <c r="BM28">
        <f t="shared" si="5"/>
        <v>3.7590000000000002E-3</v>
      </c>
      <c r="BN28">
        <f t="shared" si="5"/>
        <v>4.7860000000000003E-3</v>
      </c>
      <c r="BO28">
        <f t="shared" si="4"/>
        <v>5.1840000000000002E-3</v>
      </c>
      <c r="BP28">
        <f t="shared" si="4"/>
        <v>2.542E-3</v>
      </c>
      <c r="BQ28">
        <f t="shared" si="4"/>
        <v>2.434E-3</v>
      </c>
      <c r="BR28">
        <f t="shared" si="4"/>
        <v>1.37E-4</v>
      </c>
      <c r="BS28">
        <f t="shared" si="4"/>
        <v>2.8019999999999998E-3</v>
      </c>
      <c r="BT28">
        <f t="shared" si="4"/>
        <v>7.6000000000000004E-4</v>
      </c>
      <c r="BU28">
        <f t="shared" si="4"/>
        <v>2.813E-3</v>
      </c>
      <c r="BV28">
        <f t="shared" si="4"/>
        <v>4.8929999999999998E-3</v>
      </c>
      <c r="BW28">
        <f t="shared" si="4"/>
        <v>7.3309999999999998E-3</v>
      </c>
      <c r="BX28">
        <f t="shared" si="4"/>
        <v>6.4609999999999997E-3</v>
      </c>
      <c r="BY28">
        <f t="shared" si="4"/>
        <v>3.8500000000000001E-3</v>
      </c>
      <c r="BZ28">
        <f t="shared" si="4"/>
        <v>1.4499E-2</v>
      </c>
      <c r="CA28">
        <f t="shared" si="4"/>
        <v>1.2102E-2</v>
      </c>
      <c r="CB28">
        <f t="shared" si="4"/>
        <v>8.0949999999999998E-3</v>
      </c>
      <c r="CC28">
        <f t="shared" si="4"/>
        <v>6.659E-3</v>
      </c>
    </row>
    <row r="29" spans="1:81" ht="15.75" x14ac:dyDescent="0.25">
      <c r="A29" s="2" t="s">
        <v>92</v>
      </c>
      <c r="B29" t="e">
        <f t="shared" si="2"/>
        <v>#VALUE!</v>
      </c>
      <c r="C29">
        <f t="shared" si="5"/>
        <v>1.4624E-2</v>
      </c>
      <c r="D29" t="e">
        <f t="shared" si="5"/>
        <v>#VALUE!</v>
      </c>
      <c r="E29" t="e">
        <f t="shared" si="5"/>
        <v>#VALUE!</v>
      </c>
      <c r="F29" t="e">
        <f t="shared" si="5"/>
        <v>#VALUE!</v>
      </c>
      <c r="G29" t="e">
        <f t="shared" si="5"/>
        <v>#VALUE!</v>
      </c>
      <c r="H29" t="e">
        <f t="shared" si="5"/>
        <v>#VALUE!</v>
      </c>
      <c r="I29">
        <f t="shared" si="5"/>
        <v>3.8665999999999999E-2</v>
      </c>
      <c r="J29" t="e">
        <f t="shared" si="5"/>
        <v>#VALUE!</v>
      </c>
      <c r="K29" t="e">
        <f t="shared" si="5"/>
        <v>#VALUE!</v>
      </c>
      <c r="L29" t="e">
        <f t="shared" si="5"/>
        <v>#VALUE!</v>
      </c>
      <c r="M29">
        <f t="shared" si="5"/>
        <v>1.2208E-2</v>
      </c>
      <c r="N29" t="e">
        <f t="shared" si="5"/>
        <v>#VALUE!</v>
      </c>
      <c r="O29" t="e">
        <f t="shared" si="5"/>
        <v>#VALUE!</v>
      </c>
      <c r="P29" t="e">
        <f t="shared" si="5"/>
        <v>#VALUE!</v>
      </c>
      <c r="Q29">
        <f t="shared" si="5"/>
        <v>2.2117999999999999E-2</v>
      </c>
      <c r="R29" t="e">
        <f t="shared" si="5"/>
        <v>#VALUE!</v>
      </c>
      <c r="S29">
        <f t="shared" si="5"/>
        <v>1.5159000000000001E-2</v>
      </c>
      <c r="T29" t="e">
        <f t="shared" si="5"/>
        <v>#VALUE!</v>
      </c>
      <c r="U29" t="e">
        <f t="shared" si="5"/>
        <v>#VALUE!</v>
      </c>
      <c r="V29" t="e">
        <f t="shared" si="5"/>
        <v>#VALUE!</v>
      </c>
      <c r="W29">
        <f t="shared" si="5"/>
        <v>2.2006999999999999E-2</v>
      </c>
      <c r="X29" t="e">
        <f t="shared" si="5"/>
        <v>#VALUE!</v>
      </c>
      <c r="Y29" t="e">
        <f t="shared" si="5"/>
        <v>#VALUE!</v>
      </c>
      <c r="Z29" t="e">
        <f t="shared" si="5"/>
        <v>#VALUE!</v>
      </c>
      <c r="AA29">
        <f t="shared" si="5"/>
        <v>1.4982000000000001E-2</v>
      </c>
      <c r="AB29" t="e">
        <f t="shared" si="5"/>
        <v>#VALUE!</v>
      </c>
      <c r="AC29" t="e">
        <f t="shared" si="5"/>
        <v>#VALUE!</v>
      </c>
      <c r="AD29" t="e">
        <f t="shared" si="5"/>
        <v>#VALUE!</v>
      </c>
      <c r="AE29">
        <f t="shared" si="5"/>
        <v>4.9623E-2</v>
      </c>
      <c r="AF29" t="e">
        <f t="shared" si="5"/>
        <v>#VALUE!</v>
      </c>
      <c r="AG29" t="e">
        <f t="shared" si="5"/>
        <v>#VALUE!</v>
      </c>
      <c r="AH29" t="e">
        <f t="shared" si="5"/>
        <v>#VALUE!</v>
      </c>
      <c r="AI29" t="e">
        <f t="shared" si="5"/>
        <v>#VALUE!</v>
      </c>
      <c r="AJ29" t="e">
        <f t="shared" si="5"/>
        <v>#VALUE!</v>
      </c>
      <c r="AK29">
        <f t="shared" si="5"/>
        <v>2.5531000000000002E-2</v>
      </c>
      <c r="AL29" t="e">
        <f t="shared" si="5"/>
        <v>#VALUE!</v>
      </c>
      <c r="AM29" t="e">
        <f t="shared" si="5"/>
        <v>#VALUE!</v>
      </c>
      <c r="AN29" t="e">
        <f t="shared" si="5"/>
        <v>#VALUE!</v>
      </c>
      <c r="AO29">
        <f t="shared" si="5"/>
        <v>3.1705999999999998E-2</v>
      </c>
      <c r="AP29" t="e">
        <f t="shared" si="5"/>
        <v>#VALUE!</v>
      </c>
      <c r="AQ29">
        <f t="shared" si="5"/>
        <v>1.0114E-2</v>
      </c>
      <c r="AR29" t="e">
        <f t="shared" si="5"/>
        <v>#VALUE!</v>
      </c>
      <c r="AS29" t="e">
        <f t="shared" si="5"/>
        <v>#VALUE!</v>
      </c>
      <c r="AT29">
        <f t="shared" si="5"/>
        <v>0</v>
      </c>
      <c r="AU29">
        <f t="shared" si="5"/>
        <v>1.2669E-2</v>
      </c>
      <c r="AV29">
        <f t="shared" si="5"/>
        <v>0</v>
      </c>
      <c r="AW29">
        <f t="shared" si="5"/>
        <v>5.9956000000000002E-2</v>
      </c>
      <c r="AX29" t="e">
        <f t="shared" si="5"/>
        <v>#VALUE!</v>
      </c>
      <c r="AY29">
        <f t="shared" si="5"/>
        <v>2.6865E-2</v>
      </c>
      <c r="AZ29" t="e">
        <f t="shared" si="5"/>
        <v>#VALUE!</v>
      </c>
      <c r="BA29" t="e">
        <f t="shared" si="5"/>
        <v>#VALUE!</v>
      </c>
      <c r="BB29" t="e">
        <f t="shared" si="5"/>
        <v>#VALUE!</v>
      </c>
      <c r="BC29" t="e">
        <f t="shared" si="5"/>
        <v>#VALUE!</v>
      </c>
      <c r="BD29" t="e">
        <f t="shared" si="5"/>
        <v>#VALUE!</v>
      </c>
      <c r="BE29">
        <f t="shared" si="5"/>
        <v>8.8570000000000003E-3</v>
      </c>
      <c r="BF29" t="e">
        <f t="shared" si="5"/>
        <v>#VALUE!</v>
      </c>
      <c r="BG29">
        <f t="shared" si="5"/>
        <v>6.2379999999999996E-3</v>
      </c>
      <c r="BH29" t="e">
        <f t="shared" si="5"/>
        <v>#VALUE!</v>
      </c>
      <c r="BI29" t="e">
        <f t="shared" si="5"/>
        <v>#VALUE!</v>
      </c>
      <c r="BJ29" t="e">
        <f t="shared" si="5"/>
        <v>#VALUE!</v>
      </c>
      <c r="BK29">
        <f t="shared" si="5"/>
        <v>8.8730000000000007E-3</v>
      </c>
      <c r="BL29" t="e">
        <f t="shared" si="5"/>
        <v>#VALUE!</v>
      </c>
      <c r="BM29" t="e">
        <f t="shared" si="5"/>
        <v>#VALUE!</v>
      </c>
      <c r="BN29" t="e">
        <f t="shared" ref="BN29:CC32" si="6">+BN11/1000000</f>
        <v>#VALUE!</v>
      </c>
      <c r="BO29">
        <f t="shared" si="6"/>
        <v>3.0928000000000001E-2</v>
      </c>
      <c r="BP29" t="e">
        <f t="shared" si="6"/>
        <v>#VALUE!</v>
      </c>
      <c r="BQ29" t="e">
        <f t="shared" si="6"/>
        <v>#VALUE!</v>
      </c>
      <c r="BR29" t="e">
        <f t="shared" si="6"/>
        <v>#VALUE!</v>
      </c>
      <c r="BS29" t="e">
        <f t="shared" si="6"/>
        <v>#VALUE!</v>
      </c>
      <c r="BT29" t="e">
        <f t="shared" si="6"/>
        <v>#VALUE!</v>
      </c>
      <c r="BU29">
        <f t="shared" si="6"/>
        <v>3.3730000000000001E-3</v>
      </c>
      <c r="BV29">
        <f t="shared" si="6"/>
        <v>0</v>
      </c>
      <c r="BW29">
        <f t="shared" si="6"/>
        <v>1.418E-2</v>
      </c>
      <c r="BX29" t="e">
        <f t="shared" si="6"/>
        <v>#VALUE!</v>
      </c>
      <c r="BY29" t="e">
        <f t="shared" si="6"/>
        <v>#VALUE!</v>
      </c>
      <c r="BZ29" t="e">
        <f t="shared" si="6"/>
        <v>#VALUE!</v>
      </c>
      <c r="CA29">
        <f t="shared" si="6"/>
        <v>2.4952999999999999E-2</v>
      </c>
      <c r="CB29" t="e">
        <f t="shared" si="6"/>
        <v>#VALUE!</v>
      </c>
      <c r="CC29" t="e">
        <f t="shared" si="6"/>
        <v>#VALUE!</v>
      </c>
    </row>
    <row r="30" spans="1:81" ht="15.75" x14ac:dyDescent="0.25">
      <c r="A30" s="2" t="s">
        <v>93</v>
      </c>
      <c r="B30" t="e">
        <f t="shared" si="2"/>
        <v>#VALUE!</v>
      </c>
      <c r="C30">
        <f t="shared" ref="C30:BN33" si="7">+C12/1000000</f>
        <v>2.2716E-2</v>
      </c>
      <c r="D30" t="e">
        <f t="shared" si="7"/>
        <v>#VALUE!</v>
      </c>
      <c r="E30" t="e">
        <f t="shared" si="7"/>
        <v>#VALUE!</v>
      </c>
      <c r="F30" t="e">
        <f t="shared" si="7"/>
        <v>#VALUE!</v>
      </c>
      <c r="G30" t="e">
        <f t="shared" si="7"/>
        <v>#VALUE!</v>
      </c>
      <c r="H30" t="e">
        <f t="shared" si="7"/>
        <v>#VALUE!</v>
      </c>
      <c r="I30">
        <f t="shared" si="7"/>
        <v>6.2919999999999998E-3</v>
      </c>
      <c r="J30" t="e">
        <f t="shared" si="7"/>
        <v>#VALUE!</v>
      </c>
      <c r="K30" t="e">
        <f t="shared" si="7"/>
        <v>#VALUE!</v>
      </c>
      <c r="L30" t="e">
        <f t="shared" si="7"/>
        <v>#VALUE!</v>
      </c>
      <c r="M30">
        <f t="shared" si="7"/>
        <v>7.2430000000000003E-3</v>
      </c>
      <c r="N30" t="e">
        <f t="shared" si="7"/>
        <v>#VALUE!</v>
      </c>
      <c r="O30" t="e">
        <f t="shared" si="7"/>
        <v>#VALUE!</v>
      </c>
      <c r="P30" t="e">
        <f t="shared" si="7"/>
        <v>#VALUE!</v>
      </c>
      <c r="Q30">
        <f t="shared" si="7"/>
        <v>2.5660000000000001E-3</v>
      </c>
      <c r="R30" t="e">
        <f t="shared" si="7"/>
        <v>#VALUE!</v>
      </c>
      <c r="S30">
        <f t="shared" si="7"/>
        <v>9.1719999999999996E-3</v>
      </c>
      <c r="T30" t="e">
        <f t="shared" si="7"/>
        <v>#VALUE!</v>
      </c>
      <c r="U30" t="e">
        <f t="shared" si="7"/>
        <v>#VALUE!</v>
      </c>
      <c r="V30" t="e">
        <f t="shared" si="7"/>
        <v>#VALUE!</v>
      </c>
      <c r="W30">
        <f t="shared" si="7"/>
        <v>1.3140000000000001E-3</v>
      </c>
      <c r="X30" t="e">
        <f t="shared" si="7"/>
        <v>#VALUE!</v>
      </c>
      <c r="Y30" t="e">
        <f t="shared" si="7"/>
        <v>#VALUE!</v>
      </c>
      <c r="Z30" t="e">
        <f t="shared" si="7"/>
        <v>#VALUE!</v>
      </c>
      <c r="AA30">
        <f t="shared" si="7"/>
        <v>1.1050000000000001E-3</v>
      </c>
      <c r="AB30" t="e">
        <f t="shared" si="7"/>
        <v>#VALUE!</v>
      </c>
      <c r="AC30" t="e">
        <f t="shared" si="7"/>
        <v>#VALUE!</v>
      </c>
      <c r="AD30" t="e">
        <f t="shared" si="7"/>
        <v>#VALUE!</v>
      </c>
      <c r="AE30">
        <f t="shared" si="7"/>
        <v>5.6039999999999996E-3</v>
      </c>
      <c r="AF30" t="e">
        <f t="shared" si="7"/>
        <v>#VALUE!</v>
      </c>
      <c r="AG30" t="e">
        <f t="shared" si="7"/>
        <v>#VALUE!</v>
      </c>
      <c r="AH30" t="e">
        <f t="shared" si="7"/>
        <v>#VALUE!</v>
      </c>
      <c r="AI30" t="e">
        <f t="shared" si="7"/>
        <v>#VALUE!</v>
      </c>
      <c r="AJ30" t="e">
        <f t="shared" si="7"/>
        <v>#VALUE!</v>
      </c>
      <c r="AK30">
        <f t="shared" si="7"/>
        <v>2.7690000000000002E-3</v>
      </c>
      <c r="AL30" t="e">
        <f t="shared" si="7"/>
        <v>#VALUE!</v>
      </c>
      <c r="AM30" t="e">
        <f t="shared" si="7"/>
        <v>#VALUE!</v>
      </c>
      <c r="AN30" t="e">
        <f t="shared" si="7"/>
        <v>#VALUE!</v>
      </c>
      <c r="AO30" t="e">
        <f t="shared" si="7"/>
        <v>#VALUE!</v>
      </c>
      <c r="AP30" t="e">
        <f t="shared" si="7"/>
        <v>#VALUE!</v>
      </c>
      <c r="AQ30">
        <f t="shared" si="7"/>
        <v>2.1909999999999998E-3</v>
      </c>
      <c r="AR30" t="e">
        <f t="shared" si="7"/>
        <v>#VALUE!</v>
      </c>
      <c r="AS30" t="e">
        <f t="shared" si="7"/>
        <v>#VALUE!</v>
      </c>
      <c r="AT30" t="e">
        <f t="shared" si="7"/>
        <v>#VALUE!</v>
      </c>
      <c r="AU30" t="e">
        <f t="shared" si="7"/>
        <v>#VALUE!</v>
      </c>
      <c r="AV30" t="e">
        <f t="shared" si="7"/>
        <v>#VALUE!</v>
      </c>
      <c r="AW30">
        <f t="shared" si="7"/>
        <v>7.3099999999999997E-3</v>
      </c>
      <c r="AX30" t="e">
        <f t="shared" si="7"/>
        <v>#VALUE!</v>
      </c>
      <c r="AY30">
        <f t="shared" si="7"/>
        <v>1.2182999999999999E-2</v>
      </c>
      <c r="AZ30" t="e">
        <f t="shared" si="7"/>
        <v>#VALUE!</v>
      </c>
      <c r="BA30" t="e">
        <f t="shared" si="7"/>
        <v>#VALUE!</v>
      </c>
      <c r="BB30" t="e">
        <f t="shared" si="7"/>
        <v>#VALUE!</v>
      </c>
      <c r="BC30" t="e">
        <f t="shared" si="7"/>
        <v>#VALUE!</v>
      </c>
      <c r="BD30" t="e">
        <f t="shared" si="7"/>
        <v>#VALUE!</v>
      </c>
      <c r="BE30">
        <f t="shared" si="7"/>
        <v>1.838E-3</v>
      </c>
      <c r="BF30" t="e">
        <f t="shared" si="7"/>
        <v>#VALUE!</v>
      </c>
      <c r="BG30">
        <f t="shared" si="7"/>
        <v>2.9329999999999998E-3</v>
      </c>
      <c r="BH30" t="e">
        <f t="shared" si="7"/>
        <v>#VALUE!</v>
      </c>
      <c r="BI30" t="e">
        <f t="shared" si="7"/>
        <v>#VALUE!</v>
      </c>
      <c r="BJ30" t="e">
        <f t="shared" si="7"/>
        <v>#VALUE!</v>
      </c>
      <c r="BK30">
        <f t="shared" si="7"/>
        <v>9.7199999999999995E-3</v>
      </c>
      <c r="BL30" t="e">
        <f t="shared" si="7"/>
        <v>#VALUE!</v>
      </c>
      <c r="BM30" t="e">
        <f t="shared" si="7"/>
        <v>#VALUE!</v>
      </c>
      <c r="BN30" t="e">
        <f t="shared" si="7"/>
        <v>#VALUE!</v>
      </c>
      <c r="BO30">
        <f t="shared" si="6"/>
        <v>1.712E-3</v>
      </c>
      <c r="BP30" t="e">
        <f t="shared" si="6"/>
        <v>#VALUE!</v>
      </c>
      <c r="BQ30" t="e">
        <f t="shared" si="6"/>
        <v>#VALUE!</v>
      </c>
      <c r="BR30" t="e">
        <f t="shared" si="6"/>
        <v>#VALUE!</v>
      </c>
      <c r="BS30" t="e">
        <f t="shared" si="6"/>
        <v>#VALUE!</v>
      </c>
      <c r="BT30" t="e">
        <f t="shared" si="6"/>
        <v>#VALUE!</v>
      </c>
      <c r="BU30">
        <f t="shared" si="6"/>
        <v>4.0990000000000002E-3</v>
      </c>
      <c r="BV30">
        <f t="shared" si="6"/>
        <v>0</v>
      </c>
      <c r="BW30">
        <f t="shared" si="6"/>
        <v>2.4710000000000001E-3</v>
      </c>
      <c r="BX30" t="e">
        <f t="shared" si="6"/>
        <v>#VALUE!</v>
      </c>
      <c r="BY30" t="e">
        <f t="shared" si="6"/>
        <v>#VALUE!</v>
      </c>
      <c r="BZ30" t="e">
        <f t="shared" si="6"/>
        <v>#VALUE!</v>
      </c>
      <c r="CA30">
        <f t="shared" si="6"/>
        <v>1.201E-3</v>
      </c>
      <c r="CB30" t="e">
        <f t="shared" si="6"/>
        <v>#VALUE!</v>
      </c>
      <c r="CC30" t="e">
        <f t="shared" si="6"/>
        <v>#VALUE!</v>
      </c>
    </row>
    <row r="31" spans="1:81" ht="15.75" x14ac:dyDescent="0.25">
      <c r="A31" s="2" t="s">
        <v>94</v>
      </c>
      <c r="B31" t="e">
        <f t="shared" si="2"/>
        <v>#VALUE!</v>
      </c>
      <c r="C31">
        <f t="shared" si="7"/>
        <v>3.1779999999999998E-3</v>
      </c>
      <c r="D31" t="e">
        <f t="shared" si="7"/>
        <v>#VALUE!</v>
      </c>
      <c r="E31" t="e">
        <f t="shared" si="7"/>
        <v>#VALUE!</v>
      </c>
      <c r="F31" t="e">
        <f t="shared" si="7"/>
        <v>#VALUE!</v>
      </c>
      <c r="G31" t="e">
        <f t="shared" si="7"/>
        <v>#VALUE!</v>
      </c>
      <c r="H31" t="e">
        <f t="shared" si="7"/>
        <v>#VALUE!</v>
      </c>
      <c r="I31">
        <f t="shared" si="7"/>
        <v>3.5532000000000001E-2</v>
      </c>
      <c r="J31" t="e">
        <f t="shared" si="7"/>
        <v>#VALUE!</v>
      </c>
      <c r="K31" t="e">
        <f t="shared" si="7"/>
        <v>#VALUE!</v>
      </c>
      <c r="L31" t="e">
        <f t="shared" si="7"/>
        <v>#VALUE!</v>
      </c>
      <c r="M31">
        <f t="shared" si="7"/>
        <v>2.3372E-2</v>
      </c>
      <c r="N31" t="e">
        <f t="shared" si="7"/>
        <v>#VALUE!</v>
      </c>
      <c r="O31" t="e">
        <f t="shared" si="7"/>
        <v>#VALUE!</v>
      </c>
      <c r="P31" t="e">
        <f t="shared" si="7"/>
        <v>#VALUE!</v>
      </c>
      <c r="Q31">
        <f t="shared" si="7"/>
        <v>1.3495999999999999E-2</v>
      </c>
      <c r="R31" t="e">
        <f t="shared" si="7"/>
        <v>#VALUE!</v>
      </c>
      <c r="S31">
        <f t="shared" si="7"/>
        <v>5.2248000000000003E-2</v>
      </c>
      <c r="T31" t="e">
        <f t="shared" si="7"/>
        <v>#VALUE!</v>
      </c>
      <c r="U31" t="e">
        <f t="shared" si="7"/>
        <v>#VALUE!</v>
      </c>
      <c r="V31" t="e">
        <f t="shared" si="7"/>
        <v>#VALUE!</v>
      </c>
      <c r="W31">
        <f t="shared" si="7"/>
        <v>5.9360000000000003E-3</v>
      </c>
      <c r="X31" t="e">
        <f t="shared" si="7"/>
        <v>#VALUE!</v>
      </c>
      <c r="Y31" t="e">
        <f t="shared" si="7"/>
        <v>#VALUE!</v>
      </c>
      <c r="Z31" t="e">
        <f t="shared" si="7"/>
        <v>#VALUE!</v>
      </c>
      <c r="AA31">
        <f t="shared" si="7"/>
        <v>7.6119999999999998E-3</v>
      </c>
      <c r="AB31" t="e">
        <f t="shared" si="7"/>
        <v>#VALUE!</v>
      </c>
      <c r="AC31" t="e">
        <f t="shared" si="7"/>
        <v>#VALUE!</v>
      </c>
      <c r="AD31" t="e">
        <f t="shared" si="7"/>
        <v>#VALUE!</v>
      </c>
      <c r="AE31">
        <f t="shared" si="7"/>
        <v>2.4579E-2</v>
      </c>
      <c r="AF31" t="e">
        <f t="shared" si="7"/>
        <v>#VALUE!</v>
      </c>
      <c r="AG31" t="e">
        <f t="shared" si="7"/>
        <v>#VALUE!</v>
      </c>
      <c r="AH31" t="e">
        <f t="shared" si="7"/>
        <v>#VALUE!</v>
      </c>
      <c r="AI31" t="e">
        <f t="shared" si="7"/>
        <v>#VALUE!</v>
      </c>
      <c r="AJ31" t="e">
        <f t="shared" si="7"/>
        <v>#VALUE!</v>
      </c>
      <c r="AK31">
        <f t="shared" si="7"/>
        <v>1.1054E-2</v>
      </c>
      <c r="AL31" t="e">
        <f t="shared" si="7"/>
        <v>#VALUE!</v>
      </c>
      <c r="AM31" t="e">
        <f t="shared" si="7"/>
        <v>#VALUE!</v>
      </c>
      <c r="AN31" t="e">
        <f t="shared" si="7"/>
        <v>#VALUE!</v>
      </c>
      <c r="AO31" t="e">
        <f t="shared" si="7"/>
        <v>#VALUE!</v>
      </c>
      <c r="AP31" t="e">
        <f t="shared" si="7"/>
        <v>#VALUE!</v>
      </c>
      <c r="AQ31">
        <f t="shared" si="7"/>
        <v>2.5894E-2</v>
      </c>
      <c r="AR31" t="e">
        <f t="shared" si="7"/>
        <v>#VALUE!</v>
      </c>
      <c r="AS31" t="e">
        <f t="shared" si="7"/>
        <v>#VALUE!</v>
      </c>
      <c r="AT31" t="e">
        <f t="shared" si="7"/>
        <v>#VALUE!</v>
      </c>
      <c r="AU31" t="e">
        <f t="shared" si="7"/>
        <v>#VALUE!</v>
      </c>
      <c r="AV31" t="e">
        <f t="shared" si="7"/>
        <v>#VALUE!</v>
      </c>
      <c r="AW31">
        <f t="shared" si="7"/>
        <v>3.4271000000000003E-2</v>
      </c>
      <c r="AX31" t="e">
        <f t="shared" si="7"/>
        <v>#VALUE!</v>
      </c>
      <c r="AY31">
        <f t="shared" si="7"/>
        <v>6.8084000000000006E-2</v>
      </c>
      <c r="AZ31" t="e">
        <f t="shared" si="7"/>
        <v>#VALUE!</v>
      </c>
      <c r="BA31" t="e">
        <f t="shared" si="7"/>
        <v>#VALUE!</v>
      </c>
      <c r="BB31" t="e">
        <f t="shared" si="7"/>
        <v>#VALUE!</v>
      </c>
      <c r="BC31" t="e">
        <f t="shared" si="7"/>
        <v>#VALUE!</v>
      </c>
      <c r="BD31" t="e">
        <f t="shared" si="7"/>
        <v>#VALUE!</v>
      </c>
      <c r="BE31">
        <f t="shared" si="7"/>
        <v>3.7690000000000002E-3</v>
      </c>
      <c r="BF31" t="e">
        <f t="shared" si="7"/>
        <v>#VALUE!</v>
      </c>
      <c r="BG31">
        <f t="shared" si="7"/>
        <v>1.7944000000000002E-2</v>
      </c>
      <c r="BH31" t="e">
        <f t="shared" si="7"/>
        <v>#VALUE!</v>
      </c>
      <c r="BI31" t="e">
        <f t="shared" si="7"/>
        <v>#VALUE!</v>
      </c>
      <c r="BJ31" t="e">
        <f t="shared" si="7"/>
        <v>#VALUE!</v>
      </c>
      <c r="BK31">
        <f t="shared" si="7"/>
        <v>2.1932E-2</v>
      </c>
      <c r="BL31" t="e">
        <f t="shared" si="7"/>
        <v>#VALUE!</v>
      </c>
      <c r="BM31" t="e">
        <f t="shared" si="7"/>
        <v>#VALUE!</v>
      </c>
      <c r="BN31" t="e">
        <f t="shared" si="7"/>
        <v>#VALUE!</v>
      </c>
      <c r="BO31">
        <f t="shared" si="6"/>
        <v>7.659E-3</v>
      </c>
      <c r="BP31" t="e">
        <f t="shared" si="6"/>
        <v>#VALUE!</v>
      </c>
      <c r="BQ31" t="e">
        <f t="shared" si="6"/>
        <v>#VALUE!</v>
      </c>
      <c r="BR31" t="e">
        <f t="shared" si="6"/>
        <v>#VALUE!</v>
      </c>
      <c r="BS31" t="e">
        <f t="shared" si="6"/>
        <v>#VALUE!</v>
      </c>
      <c r="BT31" t="e">
        <f t="shared" si="6"/>
        <v>#VALUE!</v>
      </c>
      <c r="BU31">
        <f t="shared" si="6"/>
        <v>1.5424E-2</v>
      </c>
      <c r="BV31">
        <f t="shared" si="6"/>
        <v>0</v>
      </c>
      <c r="BW31">
        <f t="shared" si="6"/>
        <v>1.9245999999999999E-2</v>
      </c>
      <c r="BX31" t="e">
        <f t="shared" si="6"/>
        <v>#VALUE!</v>
      </c>
      <c r="BY31" t="e">
        <f t="shared" si="6"/>
        <v>#VALUE!</v>
      </c>
      <c r="BZ31" t="e">
        <f t="shared" si="6"/>
        <v>#VALUE!</v>
      </c>
      <c r="CA31">
        <f t="shared" si="6"/>
        <v>7.9609999999999993E-3</v>
      </c>
      <c r="CB31" t="e">
        <f t="shared" si="6"/>
        <v>#VALUE!</v>
      </c>
      <c r="CC31" t="e">
        <f t="shared" si="6"/>
        <v>#VALUE!</v>
      </c>
    </row>
    <row r="32" spans="1:81" ht="15.75" x14ac:dyDescent="0.25">
      <c r="A32" s="2" t="s">
        <v>95</v>
      </c>
      <c r="B32" t="e">
        <f t="shared" si="2"/>
        <v>#VALUE!</v>
      </c>
      <c r="C32">
        <f t="shared" si="7"/>
        <v>0</v>
      </c>
      <c r="D32" t="e">
        <f t="shared" si="7"/>
        <v>#VALUE!</v>
      </c>
      <c r="E32" t="e">
        <f t="shared" si="7"/>
        <v>#VALUE!</v>
      </c>
      <c r="F32" t="e">
        <f t="shared" si="7"/>
        <v>#VALUE!</v>
      </c>
      <c r="G32" t="e">
        <f t="shared" si="7"/>
        <v>#VALUE!</v>
      </c>
      <c r="H32" t="e">
        <f t="shared" si="7"/>
        <v>#VALUE!</v>
      </c>
      <c r="I32">
        <f t="shared" si="7"/>
        <v>3.3809999999999999E-3</v>
      </c>
      <c r="J32" t="e">
        <f t="shared" si="7"/>
        <v>#VALUE!</v>
      </c>
      <c r="K32" t="e">
        <f t="shared" si="7"/>
        <v>#VALUE!</v>
      </c>
      <c r="L32" t="e">
        <f t="shared" si="7"/>
        <v>#VALUE!</v>
      </c>
      <c r="M32">
        <f t="shared" si="7"/>
        <v>2.624E-3</v>
      </c>
      <c r="N32" t="e">
        <f t="shared" si="7"/>
        <v>#VALUE!</v>
      </c>
      <c r="O32" t="e">
        <f t="shared" si="7"/>
        <v>#VALUE!</v>
      </c>
      <c r="P32" t="e">
        <f t="shared" si="7"/>
        <v>#VALUE!</v>
      </c>
      <c r="Q32">
        <f t="shared" si="7"/>
        <v>9.1600000000000004E-4</v>
      </c>
      <c r="R32" t="e">
        <f t="shared" si="7"/>
        <v>#VALUE!</v>
      </c>
      <c r="S32">
        <f t="shared" si="7"/>
        <v>4.0641999999999998E-2</v>
      </c>
      <c r="T32" t="e">
        <f t="shared" si="7"/>
        <v>#VALUE!</v>
      </c>
      <c r="U32" t="e">
        <f t="shared" si="7"/>
        <v>#VALUE!</v>
      </c>
      <c r="V32" t="e">
        <f t="shared" si="7"/>
        <v>#VALUE!</v>
      </c>
      <c r="W32">
        <f t="shared" si="7"/>
        <v>6.7699999999999998E-4</v>
      </c>
      <c r="X32" t="e">
        <f t="shared" si="7"/>
        <v>#VALUE!</v>
      </c>
      <c r="Y32" t="e">
        <f t="shared" si="7"/>
        <v>#VALUE!</v>
      </c>
      <c r="Z32" t="e">
        <f t="shared" si="7"/>
        <v>#VALUE!</v>
      </c>
      <c r="AA32">
        <f t="shared" si="7"/>
        <v>1.075E-3</v>
      </c>
      <c r="AB32" t="e">
        <f t="shared" si="7"/>
        <v>#VALUE!</v>
      </c>
      <c r="AC32" t="e">
        <f t="shared" si="7"/>
        <v>#VALUE!</v>
      </c>
      <c r="AD32">
        <f t="shared" si="7"/>
        <v>8.8800000000000001E-4</v>
      </c>
      <c r="AE32">
        <f t="shared" si="7"/>
        <v>8.3669999999999994E-3</v>
      </c>
      <c r="AF32">
        <f t="shared" si="7"/>
        <v>9.859999999999999E-4</v>
      </c>
      <c r="AG32">
        <f t="shared" si="7"/>
        <v>7.6000000000000004E-4</v>
      </c>
      <c r="AH32" t="e">
        <f t="shared" si="7"/>
        <v>#VALUE!</v>
      </c>
      <c r="AI32" t="e">
        <f t="shared" si="7"/>
        <v>#VALUE!</v>
      </c>
      <c r="AJ32" t="e">
        <f t="shared" si="7"/>
        <v>#VALUE!</v>
      </c>
      <c r="AK32">
        <f t="shared" si="7"/>
        <v>1.235E-3</v>
      </c>
      <c r="AL32" t="e">
        <f t="shared" si="7"/>
        <v>#VALUE!</v>
      </c>
      <c r="AM32" t="e">
        <f t="shared" si="7"/>
        <v>#VALUE!</v>
      </c>
      <c r="AN32" t="e">
        <f t="shared" si="7"/>
        <v>#VALUE!</v>
      </c>
      <c r="AO32" t="e">
        <f t="shared" si="7"/>
        <v>#VALUE!</v>
      </c>
      <c r="AP32" t="e">
        <f t="shared" si="7"/>
        <v>#VALUE!</v>
      </c>
      <c r="AQ32">
        <f t="shared" si="7"/>
        <v>3.7060000000000001E-3</v>
      </c>
      <c r="AR32" t="e">
        <f t="shared" si="7"/>
        <v>#VALUE!</v>
      </c>
      <c r="AS32" t="e">
        <f t="shared" si="7"/>
        <v>#VALUE!</v>
      </c>
      <c r="AT32" t="e">
        <f t="shared" si="7"/>
        <v>#VALUE!</v>
      </c>
      <c r="AU32" t="e">
        <f t="shared" si="7"/>
        <v>#VALUE!</v>
      </c>
      <c r="AV32" t="e">
        <f t="shared" si="7"/>
        <v>#VALUE!</v>
      </c>
      <c r="AW32">
        <f t="shared" si="7"/>
        <v>6.5839999999999996E-3</v>
      </c>
      <c r="AX32" t="e">
        <f t="shared" si="7"/>
        <v>#VALUE!</v>
      </c>
      <c r="AY32">
        <f t="shared" si="7"/>
        <v>6.953E-3</v>
      </c>
      <c r="AZ32" t="e">
        <f t="shared" si="7"/>
        <v>#VALUE!</v>
      </c>
      <c r="BA32" t="e">
        <f t="shared" si="7"/>
        <v>#VALUE!</v>
      </c>
      <c r="BB32" t="e">
        <f t="shared" si="7"/>
        <v>#VALUE!</v>
      </c>
      <c r="BC32" t="e">
        <f t="shared" si="7"/>
        <v>#VALUE!</v>
      </c>
      <c r="BD32" t="e">
        <f t="shared" si="7"/>
        <v>#VALUE!</v>
      </c>
      <c r="BE32">
        <f t="shared" si="7"/>
        <v>5.2400000000000005E-4</v>
      </c>
      <c r="BF32" t="e">
        <f t="shared" si="7"/>
        <v>#VALUE!</v>
      </c>
      <c r="BG32">
        <f t="shared" si="7"/>
        <v>3.2299999999999998E-3</v>
      </c>
      <c r="BH32" t="e">
        <f t="shared" si="7"/>
        <v>#VALUE!</v>
      </c>
      <c r="BI32" t="e">
        <f t="shared" si="7"/>
        <v>#VALUE!</v>
      </c>
      <c r="BJ32" t="e">
        <f t="shared" si="7"/>
        <v>#VALUE!</v>
      </c>
      <c r="BK32">
        <f t="shared" si="7"/>
        <v>2.9060000000000002E-3</v>
      </c>
      <c r="BL32" t="e">
        <f t="shared" si="7"/>
        <v>#VALUE!</v>
      </c>
      <c r="BM32" t="e">
        <f t="shared" si="7"/>
        <v>#VALUE!</v>
      </c>
      <c r="BN32" t="e">
        <f t="shared" si="7"/>
        <v>#VALUE!</v>
      </c>
      <c r="BO32">
        <f t="shared" si="6"/>
        <v>6.8400000000000004E-4</v>
      </c>
      <c r="BP32" t="e">
        <f t="shared" si="6"/>
        <v>#VALUE!</v>
      </c>
      <c r="BQ32" t="e">
        <f t="shared" si="6"/>
        <v>#VALUE!</v>
      </c>
      <c r="BR32" t="e">
        <f t="shared" si="6"/>
        <v>#VALUE!</v>
      </c>
      <c r="BS32" t="e">
        <f t="shared" si="6"/>
        <v>#VALUE!</v>
      </c>
      <c r="BT32" t="e">
        <f t="shared" si="6"/>
        <v>#VALUE!</v>
      </c>
      <c r="BU32">
        <f t="shared" si="6"/>
        <v>1.7639999999999999E-3</v>
      </c>
      <c r="BV32">
        <f t="shared" si="6"/>
        <v>0</v>
      </c>
      <c r="BW32">
        <f t="shared" si="6"/>
        <v>2.075E-3</v>
      </c>
      <c r="BX32" t="e">
        <f t="shared" si="6"/>
        <v>#VALUE!</v>
      </c>
      <c r="BY32" t="e">
        <f t="shared" si="6"/>
        <v>#VALUE!</v>
      </c>
      <c r="BZ32" t="e">
        <f t="shared" si="6"/>
        <v>#VALUE!</v>
      </c>
      <c r="CA32">
        <f t="shared" si="6"/>
        <v>1.2149999999999999E-3</v>
      </c>
      <c r="CB32" t="e">
        <f t="shared" si="6"/>
        <v>#VALUE!</v>
      </c>
      <c r="CC32" t="e">
        <f t="shared" si="6"/>
        <v>#VALUE!</v>
      </c>
    </row>
    <row r="33" spans="1:81" ht="15.75" x14ac:dyDescent="0.25">
      <c r="A33" s="2" t="s">
        <v>96</v>
      </c>
      <c r="B33" t="e">
        <f t="shared" si="2"/>
        <v>#VALUE!</v>
      </c>
      <c r="C33">
        <f t="shared" si="7"/>
        <v>7.986E-3</v>
      </c>
      <c r="D33" t="e">
        <f t="shared" si="7"/>
        <v>#VALUE!</v>
      </c>
      <c r="E33" t="e">
        <f t="shared" si="7"/>
        <v>#VALUE!</v>
      </c>
      <c r="F33" t="e">
        <f t="shared" si="7"/>
        <v>#VALUE!</v>
      </c>
      <c r="G33" t="e">
        <f t="shared" si="7"/>
        <v>#VALUE!</v>
      </c>
      <c r="H33" t="e">
        <f t="shared" si="7"/>
        <v>#VALUE!</v>
      </c>
      <c r="I33">
        <f t="shared" si="7"/>
        <v>1.3271E-2</v>
      </c>
      <c r="J33" t="e">
        <f t="shared" si="7"/>
        <v>#VALUE!</v>
      </c>
      <c r="K33" t="e">
        <f t="shared" si="7"/>
        <v>#VALUE!</v>
      </c>
      <c r="L33" t="e">
        <f t="shared" si="7"/>
        <v>#VALUE!</v>
      </c>
      <c r="M33">
        <f t="shared" si="7"/>
        <v>7.1640000000000002E-3</v>
      </c>
      <c r="N33" t="e">
        <f t="shared" si="7"/>
        <v>#VALUE!</v>
      </c>
      <c r="O33" t="e">
        <f t="shared" si="7"/>
        <v>#VALUE!</v>
      </c>
      <c r="P33" t="e">
        <f t="shared" si="7"/>
        <v>#VALUE!</v>
      </c>
      <c r="Q33">
        <f t="shared" si="7"/>
        <v>2.758E-3</v>
      </c>
      <c r="R33" t="e">
        <f t="shared" si="7"/>
        <v>#VALUE!</v>
      </c>
      <c r="S33">
        <f t="shared" si="7"/>
        <v>3.2357999999999998E-2</v>
      </c>
      <c r="T33" t="e">
        <f t="shared" si="7"/>
        <v>#VALUE!</v>
      </c>
      <c r="U33" t="e">
        <f t="shared" si="7"/>
        <v>#VALUE!</v>
      </c>
      <c r="V33" t="e">
        <f t="shared" si="7"/>
        <v>#VALUE!</v>
      </c>
      <c r="W33">
        <f t="shared" si="7"/>
        <v>2.3640000000000002E-3</v>
      </c>
      <c r="X33" t="e">
        <f t="shared" si="7"/>
        <v>#VALUE!</v>
      </c>
      <c r="Y33" t="e">
        <f t="shared" si="7"/>
        <v>#VALUE!</v>
      </c>
      <c r="Z33" t="e">
        <f t="shared" si="7"/>
        <v>#VALUE!</v>
      </c>
      <c r="AA33">
        <f t="shared" si="7"/>
        <v>2.3249999999999998E-3</v>
      </c>
      <c r="AB33" t="e">
        <f t="shared" si="7"/>
        <v>#VALUE!</v>
      </c>
      <c r="AC33" t="e">
        <f t="shared" si="7"/>
        <v>#VALUE!</v>
      </c>
      <c r="AD33" t="e">
        <f t="shared" si="7"/>
        <v>#VALUE!</v>
      </c>
      <c r="AE33">
        <f t="shared" si="7"/>
        <v>1.7135000000000001E-2</v>
      </c>
      <c r="AF33" t="e">
        <f t="shared" si="7"/>
        <v>#VALUE!</v>
      </c>
      <c r="AG33" t="e">
        <f t="shared" si="7"/>
        <v>#VALUE!</v>
      </c>
      <c r="AH33" t="e">
        <f t="shared" si="7"/>
        <v>#VALUE!</v>
      </c>
      <c r="AI33" t="e">
        <f t="shared" si="7"/>
        <v>#VALUE!</v>
      </c>
      <c r="AJ33" t="e">
        <f t="shared" si="7"/>
        <v>#VALUE!</v>
      </c>
      <c r="AK33">
        <f t="shared" si="7"/>
        <v>3.7889999999999998E-3</v>
      </c>
      <c r="AL33" t="e">
        <f t="shared" si="7"/>
        <v>#VALUE!</v>
      </c>
      <c r="AM33" t="e">
        <f t="shared" si="7"/>
        <v>#VALUE!</v>
      </c>
      <c r="AN33" t="e">
        <f t="shared" si="7"/>
        <v>#VALUE!</v>
      </c>
      <c r="AO33" t="e">
        <f t="shared" si="7"/>
        <v>#VALUE!</v>
      </c>
      <c r="AP33" t="e">
        <f t="shared" si="7"/>
        <v>#VALUE!</v>
      </c>
      <c r="AQ33">
        <f t="shared" si="7"/>
        <v>1.0891E-2</v>
      </c>
      <c r="AR33" t="e">
        <f t="shared" si="7"/>
        <v>#VALUE!</v>
      </c>
      <c r="AS33" t="e">
        <f t="shared" si="7"/>
        <v>#VALUE!</v>
      </c>
      <c r="AT33" t="e">
        <f t="shared" si="7"/>
        <v>#VALUE!</v>
      </c>
      <c r="AU33" t="e">
        <f t="shared" si="7"/>
        <v>#VALUE!</v>
      </c>
      <c r="AV33" t="e">
        <f t="shared" si="7"/>
        <v>#VALUE!</v>
      </c>
      <c r="AW33">
        <f t="shared" si="7"/>
        <v>8.1569999999999993E-3</v>
      </c>
      <c r="AX33" t="e">
        <f t="shared" si="7"/>
        <v>#VALUE!</v>
      </c>
      <c r="AY33">
        <f t="shared" si="7"/>
        <v>2.7005000000000001E-2</v>
      </c>
      <c r="AZ33" t="e">
        <f t="shared" si="7"/>
        <v>#VALUE!</v>
      </c>
      <c r="BA33" t="e">
        <f t="shared" si="7"/>
        <v>#VALUE!</v>
      </c>
      <c r="BB33" t="e">
        <f t="shared" si="7"/>
        <v>#VALUE!</v>
      </c>
      <c r="BC33" t="e">
        <f t="shared" si="7"/>
        <v>#VALUE!</v>
      </c>
      <c r="BD33" t="e">
        <f t="shared" si="7"/>
        <v>#VALUE!</v>
      </c>
      <c r="BE33">
        <f t="shared" si="7"/>
        <v>1.8799999999999999E-3</v>
      </c>
      <c r="BF33" t="e">
        <f t="shared" si="7"/>
        <v>#VALUE!</v>
      </c>
      <c r="BG33">
        <f t="shared" si="7"/>
        <v>7.9439999999999997E-3</v>
      </c>
      <c r="BH33" t="e">
        <f t="shared" si="7"/>
        <v>#VALUE!</v>
      </c>
      <c r="BI33" t="e">
        <f t="shared" si="7"/>
        <v>#VALUE!</v>
      </c>
      <c r="BJ33" t="e">
        <f t="shared" si="7"/>
        <v>#VALUE!</v>
      </c>
      <c r="BK33">
        <f t="shared" si="7"/>
        <v>6.77E-3</v>
      </c>
      <c r="BL33" t="e">
        <f t="shared" si="7"/>
        <v>#VALUE!</v>
      </c>
      <c r="BM33" t="e">
        <f t="shared" si="7"/>
        <v>#VALUE!</v>
      </c>
      <c r="BN33" t="e">
        <f t="shared" ref="BN33:CC35" si="8">+BN15/1000000</f>
        <v>#VALUE!</v>
      </c>
      <c r="BO33">
        <f t="shared" si="8"/>
        <v>2.3270000000000001E-3</v>
      </c>
      <c r="BP33" t="e">
        <f t="shared" si="8"/>
        <v>#VALUE!</v>
      </c>
      <c r="BQ33" t="e">
        <f t="shared" si="8"/>
        <v>#VALUE!</v>
      </c>
      <c r="BR33" t="e">
        <f t="shared" si="8"/>
        <v>#VALUE!</v>
      </c>
      <c r="BS33" t="e">
        <f t="shared" si="8"/>
        <v>#VALUE!</v>
      </c>
      <c r="BT33" t="e">
        <f t="shared" si="8"/>
        <v>#VALUE!</v>
      </c>
      <c r="BU33">
        <f t="shared" si="8"/>
        <v>4.1320000000000003E-3</v>
      </c>
      <c r="BV33">
        <f t="shared" si="8"/>
        <v>0</v>
      </c>
      <c r="BW33">
        <f t="shared" si="8"/>
        <v>7.9719999999999999E-3</v>
      </c>
      <c r="BX33" t="e">
        <f t="shared" si="8"/>
        <v>#VALUE!</v>
      </c>
      <c r="BY33" t="e">
        <f t="shared" si="8"/>
        <v>#VALUE!</v>
      </c>
      <c r="BZ33" t="e">
        <f t="shared" si="8"/>
        <v>#VALUE!</v>
      </c>
      <c r="CA33">
        <f t="shared" si="8"/>
        <v>3.6600000000000001E-3</v>
      </c>
      <c r="CB33" t="e">
        <f t="shared" si="8"/>
        <v>#VALUE!</v>
      </c>
      <c r="CC33" t="e">
        <f t="shared" si="8"/>
        <v>#VALUE!</v>
      </c>
    </row>
    <row r="34" spans="1:81" ht="15.75" x14ac:dyDescent="0.25">
      <c r="A34" s="2" t="s">
        <v>97</v>
      </c>
      <c r="B34">
        <f t="shared" si="2"/>
        <v>4.7819999999999998E-3</v>
      </c>
      <c r="C34">
        <f t="shared" ref="C34:BN35" si="9">+C16/1000000</f>
        <v>4.8209999999999998E-3</v>
      </c>
      <c r="D34">
        <f t="shared" si="9"/>
        <v>8.8780000000000005E-3</v>
      </c>
      <c r="E34">
        <f t="shared" si="9"/>
        <v>1.1582E-2</v>
      </c>
      <c r="F34">
        <f t="shared" si="9"/>
        <v>4.3449999999999999E-3</v>
      </c>
      <c r="G34">
        <f t="shared" si="9"/>
        <v>4.1669999999999997E-3</v>
      </c>
      <c r="H34">
        <f t="shared" si="9"/>
        <v>4.8929999999999998E-3</v>
      </c>
      <c r="I34">
        <f t="shared" si="9"/>
        <v>8.7609999999999997E-3</v>
      </c>
      <c r="J34">
        <f t="shared" si="9"/>
        <v>6.2249999999999996E-3</v>
      </c>
      <c r="K34">
        <f t="shared" si="9"/>
        <v>6.7330000000000003E-3</v>
      </c>
      <c r="L34">
        <f t="shared" si="9"/>
        <v>1.8058000000000001E-2</v>
      </c>
      <c r="M34">
        <f t="shared" si="9"/>
        <v>5.4640000000000001E-3</v>
      </c>
      <c r="N34">
        <f t="shared" si="9"/>
        <v>5.7450000000000001E-3</v>
      </c>
      <c r="O34">
        <f t="shared" si="9"/>
        <v>3.8860000000000001E-3</v>
      </c>
      <c r="P34">
        <f t="shared" si="9"/>
        <v>2.9129999999999998E-3</v>
      </c>
      <c r="Q34">
        <f t="shared" si="9"/>
        <v>4.4510000000000001E-3</v>
      </c>
      <c r="R34">
        <f t="shared" si="9"/>
        <v>7.2449999999999997E-3</v>
      </c>
      <c r="S34">
        <f t="shared" si="9"/>
        <v>1.0897E-2</v>
      </c>
      <c r="T34">
        <f t="shared" si="9"/>
        <v>7.0679999999999996E-3</v>
      </c>
      <c r="U34">
        <f t="shared" si="9"/>
        <v>6.5180000000000004E-3</v>
      </c>
      <c r="V34">
        <f t="shared" si="9"/>
        <v>3.3570000000000002E-3</v>
      </c>
      <c r="W34">
        <f t="shared" si="9"/>
        <v>2.8500000000000001E-3</v>
      </c>
      <c r="X34">
        <f t="shared" si="9"/>
        <v>3.5279999999999999E-3</v>
      </c>
      <c r="Y34">
        <f t="shared" si="9"/>
        <v>3.003E-3</v>
      </c>
      <c r="Z34">
        <f t="shared" si="9"/>
        <v>4.8960000000000002E-3</v>
      </c>
      <c r="AA34">
        <f t="shared" si="9"/>
        <v>8.8739999999999999E-3</v>
      </c>
      <c r="AB34">
        <f t="shared" si="9"/>
        <v>1.044E-2</v>
      </c>
      <c r="AC34">
        <f t="shared" si="9"/>
        <v>1.0007E-2</v>
      </c>
      <c r="AD34">
        <f t="shared" si="9"/>
        <v>1.7238E-2</v>
      </c>
      <c r="AE34">
        <f t="shared" si="9"/>
        <v>5.8900000000000003E-3</v>
      </c>
      <c r="AF34">
        <f t="shared" si="9"/>
        <v>1.2175999999999999E-2</v>
      </c>
      <c r="AG34">
        <f t="shared" si="9"/>
        <v>5.6309999999999997E-3</v>
      </c>
      <c r="AH34">
        <f t="shared" si="9"/>
        <v>3.8049999999999998E-3</v>
      </c>
      <c r="AI34">
        <f t="shared" si="9"/>
        <v>2.503E-3</v>
      </c>
      <c r="AJ34">
        <f t="shared" si="9"/>
        <v>2.1199999999999999E-3</v>
      </c>
      <c r="AK34">
        <f t="shared" si="9"/>
        <v>2.6909999999999998E-3</v>
      </c>
      <c r="AL34">
        <f t="shared" si="9"/>
        <v>3.3500000000000001E-3</v>
      </c>
      <c r="AM34">
        <f t="shared" si="9"/>
        <v>7.2230000000000003E-3</v>
      </c>
      <c r="AN34">
        <f t="shared" si="9"/>
        <v>8.2260000000000007E-3</v>
      </c>
      <c r="AO34">
        <f t="shared" si="9"/>
        <v>5.5529999999999998E-3</v>
      </c>
      <c r="AP34">
        <f t="shared" si="9"/>
        <v>8.3999999999999995E-3</v>
      </c>
      <c r="AQ34">
        <f t="shared" si="9"/>
        <v>6.8960000000000002E-3</v>
      </c>
      <c r="AR34">
        <f t="shared" si="9"/>
        <v>6.7530000000000003E-3</v>
      </c>
      <c r="AS34">
        <f t="shared" si="9"/>
        <v>3.5630000000000002E-3</v>
      </c>
      <c r="AT34">
        <f t="shared" si="9"/>
        <v>1.1221999999999999E-2</v>
      </c>
      <c r="AU34">
        <f t="shared" si="9"/>
        <v>1.7590000000000001E-2</v>
      </c>
      <c r="AV34">
        <f t="shared" si="9"/>
        <v>2.0101999999999998E-2</v>
      </c>
      <c r="AW34">
        <f t="shared" si="9"/>
        <v>1.3011999999999999E-2</v>
      </c>
      <c r="AX34">
        <f t="shared" si="9"/>
        <v>3.8010000000000001E-3</v>
      </c>
      <c r="AY34">
        <f t="shared" si="9"/>
        <v>1.4834E-2</v>
      </c>
      <c r="AZ34">
        <f t="shared" si="9"/>
        <v>4.5279999999999999E-3</v>
      </c>
      <c r="BA34">
        <f t="shared" si="9"/>
        <v>4.3699999999999998E-3</v>
      </c>
      <c r="BB34">
        <f t="shared" si="9"/>
        <v>5.3030000000000004E-3</v>
      </c>
      <c r="BC34">
        <f t="shared" si="9"/>
        <v>2.9859999999999999E-3</v>
      </c>
      <c r="BD34">
        <f t="shared" si="9"/>
        <v>4.5570000000000003E-3</v>
      </c>
      <c r="BE34">
        <f t="shared" si="9"/>
        <v>5.5579999999999996E-3</v>
      </c>
      <c r="BF34">
        <f t="shared" si="9"/>
        <v>7.3309999999999998E-3</v>
      </c>
      <c r="BG34">
        <f t="shared" si="9"/>
        <v>8.43E-3</v>
      </c>
      <c r="BH34">
        <f t="shared" si="9"/>
        <v>1.0286999999999999E-2</v>
      </c>
      <c r="BI34">
        <f t="shared" si="9"/>
        <v>9.5259999999999997E-3</v>
      </c>
      <c r="BJ34">
        <f t="shared" si="9"/>
        <v>5.391E-3</v>
      </c>
      <c r="BK34">
        <f t="shared" si="9"/>
        <v>3.7910000000000001E-3</v>
      </c>
      <c r="BL34">
        <f t="shared" si="9"/>
        <v>5.4729999999999996E-3</v>
      </c>
      <c r="BM34">
        <f t="shared" si="9"/>
        <v>5.0819999999999997E-3</v>
      </c>
      <c r="BN34">
        <f t="shared" si="9"/>
        <v>2.3739999999999998E-3</v>
      </c>
      <c r="BO34">
        <f t="shared" si="8"/>
        <v>1.7290000000000001E-3</v>
      </c>
      <c r="BP34">
        <f t="shared" si="8"/>
        <v>2.356E-3</v>
      </c>
      <c r="BQ34">
        <f t="shared" si="8"/>
        <v>2.1069999999999999E-3</v>
      </c>
      <c r="BR34">
        <f t="shared" si="8"/>
        <v>3.0100000000000001E-3</v>
      </c>
      <c r="BS34">
        <f t="shared" si="8"/>
        <v>2.431E-3</v>
      </c>
      <c r="BT34">
        <f t="shared" si="8"/>
        <v>2.8410000000000002E-3</v>
      </c>
      <c r="BU34">
        <f t="shared" si="8"/>
        <v>3.7039999999999998E-3</v>
      </c>
      <c r="BV34">
        <f t="shared" si="8"/>
        <v>1.701E-3</v>
      </c>
      <c r="BW34">
        <f t="shared" si="8"/>
        <v>1.5809999999999999E-3</v>
      </c>
      <c r="BX34">
        <f t="shared" si="8"/>
        <v>1.1180000000000001E-3</v>
      </c>
      <c r="BY34">
        <f t="shared" si="8"/>
        <v>2.349E-3</v>
      </c>
      <c r="BZ34">
        <f t="shared" si="8"/>
        <v>8.4650000000000003E-3</v>
      </c>
      <c r="CA34">
        <f t="shared" si="8"/>
        <v>5.1009999999999996E-3</v>
      </c>
      <c r="CB34">
        <f t="shared" si="8"/>
        <v>8.1379999999999994E-3</v>
      </c>
      <c r="CC34">
        <f t="shared" si="8"/>
        <v>9.0519999999999993E-3</v>
      </c>
    </row>
    <row r="35" spans="1:81" ht="15.75" x14ac:dyDescent="0.25">
      <c r="A35" s="2" t="s">
        <v>98</v>
      </c>
      <c r="B35">
        <f t="shared" si="2"/>
        <v>4.9221000000000001E-2</v>
      </c>
      <c r="C35">
        <f t="shared" si="9"/>
        <v>4.2478000000000002E-2</v>
      </c>
      <c r="D35">
        <f t="shared" si="9"/>
        <v>0.112682</v>
      </c>
      <c r="E35">
        <f t="shared" si="9"/>
        <v>4.9704999999999999E-2</v>
      </c>
      <c r="F35">
        <f t="shared" si="9"/>
        <v>0.10539999999999999</v>
      </c>
      <c r="G35">
        <f t="shared" si="9"/>
        <v>0.19414100000000001</v>
      </c>
      <c r="H35">
        <f t="shared" si="9"/>
        <v>4.3949000000000002E-2</v>
      </c>
      <c r="I35">
        <f t="shared" si="9"/>
        <v>0.19248799999999999</v>
      </c>
      <c r="J35">
        <f t="shared" si="9"/>
        <v>0.25079200000000001</v>
      </c>
      <c r="K35">
        <f t="shared" si="9"/>
        <v>0.29989199999999999</v>
      </c>
      <c r="L35">
        <f t="shared" si="9"/>
        <v>0.322658</v>
      </c>
      <c r="M35">
        <f t="shared" si="9"/>
        <v>0.104209</v>
      </c>
      <c r="N35">
        <f t="shared" si="9"/>
        <v>0.12818199999999999</v>
      </c>
      <c r="O35">
        <f t="shared" si="9"/>
        <v>0.23757600000000001</v>
      </c>
      <c r="P35">
        <f t="shared" si="9"/>
        <v>9.7610000000000002E-2</v>
      </c>
      <c r="Q35">
        <f t="shared" si="9"/>
        <v>7.6739000000000002E-2</v>
      </c>
      <c r="R35">
        <f t="shared" si="9"/>
        <v>2.8438999999999999E-2</v>
      </c>
      <c r="S35">
        <f t="shared" si="9"/>
        <v>0.11126900000000001</v>
      </c>
      <c r="T35">
        <f t="shared" si="9"/>
        <v>1.4962E-2</v>
      </c>
      <c r="U35">
        <f t="shared" si="9"/>
        <v>1.8008E-2</v>
      </c>
      <c r="V35">
        <f t="shared" si="9"/>
        <v>0.12246</v>
      </c>
      <c r="W35">
        <f t="shared" si="9"/>
        <v>5.8679000000000002E-2</v>
      </c>
      <c r="X35">
        <f t="shared" si="9"/>
        <v>0.36985299999999999</v>
      </c>
      <c r="Y35">
        <f t="shared" si="9"/>
        <v>1.4197E-2</v>
      </c>
      <c r="Z35">
        <f t="shared" si="9"/>
        <v>2.898E-3</v>
      </c>
      <c r="AA35">
        <f t="shared" si="9"/>
        <v>2.3310000000000002E-3</v>
      </c>
      <c r="AB35">
        <f t="shared" si="9"/>
        <v>2.3419999999999999E-3</v>
      </c>
      <c r="AC35">
        <f t="shared" si="9"/>
        <v>6.9610000000000002E-3</v>
      </c>
      <c r="AD35">
        <f t="shared" si="9"/>
        <v>1.9195E-2</v>
      </c>
      <c r="AE35">
        <f t="shared" si="9"/>
        <v>1.3823999999999999E-2</v>
      </c>
      <c r="AF35">
        <f t="shared" si="9"/>
        <v>7.3229999999999996E-3</v>
      </c>
      <c r="AG35">
        <f t="shared" si="9"/>
        <v>1.3412E-2</v>
      </c>
      <c r="AH35">
        <f t="shared" si="9"/>
        <v>2.5069000000000001E-2</v>
      </c>
      <c r="AI35">
        <f t="shared" si="9"/>
        <v>0.103466</v>
      </c>
      <c r="AJ35">
        <f t="shared" si="9"/>
        <v>3.7853999999999999E-2</v>
      </c>
      <c r="AK35">
        <f t="shared" si="9"/>
        <v>3.4402000000000002E-2</v>
      </c>
      <c r="AL35">
        <f t="shared" si="9"/>
        <v>7.0210999999999996E-2</v>
      </c>
      <c r="AM35">
        <f t="shared" si="9"/>
        <v>7.3358999999999994E-2</v>
      </c>
      <c r="AN35">
        <f t="shared" si="9"/>
        <v>0.11551699999999999</v>
      </c>
      <c r="AO35">
        <f t="shared" si="9"/>
        <v>5.0025E-2</v>
      </c>
      <c r="AP35">
        <f t="shared" si="9"/>
        <v>8.3569999999999998E-3</v>
      </c>
      <c r="AQ35">
        <f t="shared" si="9"/>
        <v>0.19043199999999999</v>
      </c>
      <c r="AR35">
        <f t="shared" si="9"/>
        <v>0.151416</v>
      </c>
      <c r="AS35">
        <f t="shared" si="9"/>
        <v>0.29154200000000002</v>
      </c>
      <c r="AT35">
        <f t="shared" si="9"/>
        <v>1.5143E-2</v>
      </c>
      <c r="AU35">
        <f t="shared" si="9"/>
        <v>0.114206</v>
      </c>
      <c r="AV35">
        <f t="shared" si="9"/>
        <v>6.5955E-2</v>
      </c>
      <c r="AW35">
        <f t="shared" si="9"/>
        <v>5.1017E-2</v>
      </c>
      <c r="AX35">
        <f t="shared" si="9"/>
        <v>0.23335</v>
      </c>
      <c r="AY35">
        <f t="shared" si="9"/>
        <v>0.15551899999999999</v>
      </c>
      <c r="AZ35">
        <f t="shared" si="9"/>
        <v>8.9810000000000001E-2</v>
      </c>
      <c r="BA35">
        <f t="shared" si="9"/>
        <v>0.134348</v>
      </c>
      <c r="BB35">
        <f t="shared" si="9"/>
        <v>0.145842</v>
      </c>
      <c r="BC35">
        <f t="shared" si="9"/>
        <v>4.5133E-2</v>
      </c>
      <c r="BD35">
        <f t="shared" si="9"/>
        <v>5.2990000000000002E-2</v>
      </c>
      <c r="BE35">
        <f t="shared" si="9"/>
        <v>8.8594999999999993E-2</v>
      </c>
      <c r="BF35">
        <f t="shared" si="9"/>
        <v>4.9097000000000002E-2</v>
      </c>
      <c r="BG35">
        <f t="shared" si="9"/>
        <v>5.3704000000000002E-2</v>
      </c>
      <c r="BH35">
        <f t="shared" si="9"/>
        <v>3.5166999999999997E-2</v>
      </c>
      <c r="BI35">
        <f t="shared" si="9"/>
        <v>2.7365E-2</v>
      </c>
      <c r="BJ35">
        <f t="shared" si="9"/>
        <v>5.9316000000000001E-2</v>
      </c>
      <c r="BK35">
        <f t="shared" si="9"/>
        <v>7.3069999999999996E-2</v>
      </c>
      <c r="BL35">
        <f t="shared" si="9"/>
        <v>0.109613</v>
      </c>
      <c r="BM35">
        <f t="shared" si="9"/>
        <v>4.7537999999999997E-2</v>
      </c>
      <c r="BN35">
        <f t="shared" si="9"/>
        <v>9.4542000000000001E-2</v>
      </c>
      <c r="BO35">
        <f t="shared" si="8"/>
        <v>6.7289000000000002E-2</v>
      </c>
      <c r="BP35">
        <f t="shared" si="8"/>
        <v>0.10416400000000001</v>
      </c>
      <c r="BQ35">
        <f t="shared" si="8"/>
        <v>0.16103400000000001</v>
      </c>
      <c r="BR35">
        <f t="shared" si="8"/>
        <v>7.1329999999999996E-3</v>
      </c>
      <c r="BS35">
        <f t="shared" si="8"/>
        <v>1.1344E-2</v>
      </c>
      <c r="BT35">
        <f t="shared" si="8"/>
        <v>7.8589999999999997E-3</v>
      </c>
      <c r="BU35">
        <f t="shared" si="8"/>
        <v>2.2658000000000001E-2</v>
      </c>
      <c r="BV35">
        <f t="shared" si="8"/>
        <v>0.109442</v>
      </c>
      <c r="BW35">
        <f t="shared" si="8"/>
        <v>0.16234699999999999</v>
      </c>
      <c r="BX35">
        <f t="shared" si="8"/>
        <v>0.17019699999999999</v>
      </c>
      <c r="BY35">
        <f t="shared" si="8"/>
        <v>9.8183000000000006E-2</v>
      </c>
      <c r="BZ35">
        <f t="shared" si="8"/>
        <v>4.5969000000000003E-2</v>
      </c>
      <c r="CA35">
        <f t="shared" si="8"/>
        <v>6.3635999999999998E-2</v>
      </c>
      <c r="CB35">
        <f t="shared" si="8"/>
        <v>0.27682699999999999</v>
      </c>
      <c r="CC35">
        <f t="shared" si="8"/>
        <v>6.0396999999999999E-2</v>
      </c>
    </row>
    <row r="37" spans="1:81" s="6" customFormat="1" x14ac:dyDescent="0.25">
      <c r="B37" s="6" t="s">
        <v>113</v>
      </c>
      <c r="C37" s="6" t="s">
        <v>113</v>
      </c>
      <c r="D37" s="6" t="s">
        <v>113</v>
      </c>
      <c r="E37" s="6" t="s">
        <v>113</v>
      </c>
      <c r="F37" s="6" t="s">
        <v>113</v>
      </c>
      <c r="G37" s="6" t="s">
        <v>113</v>
      </c>
      <c r="H37" s="6" t="s">
        <v>113</v>
      </c>
      <c r="I37" s="6" t="s">
        <v>113</v>
      </c>
      <c r="J37" s="6" t="s">
        <v>113</v>
      </c>
      <c r="K37" s="6" t="s">
        <v>113</v>
      </c>
      <c r="L37" s="6" t="s">
        <v>113</v>
      </c>
      <c r="M37" s="6" t="s">
        <v>113</v>
      </c>
      <c r="N37" s="6" t="s">
        <v>113</v>
      </c>
      <c r="O37" s="6" t="s">
        <v>113</v>
      </c>
      <c r="P37" s="6" t="s">
        <v>113</v>
      </c>
      <c r="Q37" s="6" t="s">
        <v>113</v>
      </c>
      <c r="R37" s="6" t="s">
        <v>113</v>
      </c>
      <c r="S37" s="6" t="s">
        <v>113</v>
      </c>
      <c r="T37" s="6" t="s">
        <v>113</v>
      </c>
      <c r="U37" s="6" t="s">
        <v>113</v>
      </c>
      <c r="V37" s="6" t="s">
        <v>113</v>
      </c>
      <c r="W37" s="6" t="s">
        <v>113</v>
      </c>
      <c r="X37" s="6" t="s">
        <v>113</v>
      </c>
      <c r="Y37" s="6" t="s">
        <v>113</v>
      </c>
      <c r="Z37" s="6" t="s">
        <v>113</v>
      </c>
      <c r="AA37" s="6" t="s">
        <v>113</v>
      </c>
      <c r="AB37" s="6" t="s">
        <v>113</v>
      </c>
      <c r="AC37" s="6" t="s">
        <v>113</v>
      </c>
      <c r="AD37" s="6" t="s">
        <v>113</v>
      </c>
      <c r="AE37" s="6" t="s">
        <v>113</v>
      </c>
      <c r="AF37" s="6" t="s">
        <v>113</v>
      </c>
      <c r="AG37" s="6" t="s">
        <v>113</v>
      </c>
      <c r="AH37" s="6" t="s">
        <v>113</v>
      </c>
      <c r="AI37" s="6" t="s">
        <v>113</v>
      </c>
      <c r="AJ37" s="6" t="s">
        <v>113</v>
      </c>
      <c r="AK37" s="6" t="s">
        <v>113</v>
      </c>
      <c r="AL37" s="6" t="s">
        <v>113</v>
      </c>
      <c r="AM37" s="6" t="s">
        <v>113</v>
      </c>
      <c r="AN37" s="6" t="s">
        <v>113</v>
      </c>
      <c r="AO37" s="6" t="s">
        <v>113</v>
      </c>
      <c r="AP37" s="6" t="s">
        <v>113</v>
      </c>
      <c r="AQ37" s="6" t="s">
        <v>113</v>
      </c>
      <c r="AR37" s="6" t="s">
        <v>113</v>
      </c>
      <c r="AS37" s="6" t="s">
        <v>113</v>
      </c>
      <c r="AT37" s="6" t="s">
        <v>113</v>
      </c>
      <c r="AU37" s="6" t="s">
        <v>113</v>
      </c>
      <c r="AV37" s="6" t="s">
        <v>113</v>
      </c>
      <c r="AW37" s="6" t="s">
        <v>113</v>
      </c>
      <c r="AX37" s="6" t="s">
        <v>113</v>
      </c>
      <c r="AY37" s="6" t="s">
        <v>113</v>
      </c>
      <c r="AZ37" s="6" t="s">
        <v>113</v>
      </c>
      <c r="BA37" s="6" t="s">
        <v>113</v>
      </c>
      <c r="BB37" s="6" t="s">
        <v>113</v>
      </c>
      <c r="BC37" s="6" t="s">
        <v>113</v>
      </c>
      <c r="BD37" s="6" t="s">
        <v>113</v>
      </c>
      <c r="BE37" s="6" t="s">
        <v>113</v>
      </c>
      <c r="BF37" s="6" t="s">
        <v>113</v>
      </c>
      <c r="BG37" s="6" t="s">
        <v>113</v>
      </c>
      <c r="BH37" s="6" t="s">
        <v>113</v>
      </c>
      <c r="BI37" s="6" t="s">
        <v>113</v>
      </c>
      <c r="BJ37" s="6" t="s">
        <v>113</v>
      </c>
      <c r="BK37" s="6" t="s">
        <v>113</v>
      </c>
      <c r="BL37" s="6" t="s">
        <v>113</v>
      </c>
      <c r="BM37" s="6" t="s">
        <v>113</v>
      </c>
      <c r="BN37" s="6" t="s">
        <v>113</v>
      </c>
      <c r="BO37" s="6" t="s">
        <v>113</v>
      </c>
      <c r="BP37" s="6" t="s">
        <v>113</v>
      </c>
      <c r="BQ37" s="6" t="s">
        <v>113</v>
      </c>
      <c r="BR37" s="6" t="s">
        <v>113</v>
      </c>
      <c r="BS37" s="6" t="s">
        <v>113</v>
      </c>
      <c r="BT37" s="6" t="s">
        <v>113</v>
      </c>
      <c r="BU37" s="6" t="s">
        <v>113</v>
      </c>
      <c r="BV37" s="6" t="s">
        <v>113</v>
      </c>
      <c r="BW37" s="6" t="s">
        <v>113</v>
      </c>
      <c r="BX37" s="6" t="s">
        <v>113</v>
      </c>
      <c r="BY37" s="6" t="s">
        <v>113</v>
      </c>
      <c r="BZ37" s="6" t="s">
        <v>113</v>
      </c>
      <c r="CA37" s="6" t="s">
        <v>113</v>
      </c>
      <c r="CB37" s="6" t="s">
        <v>113</v>
      </c>
      <c r="CC37" s="6" t="s">
        <v>113</v>
      </c>
    </row>
    <row r="38" spans="1:81" ht="15.75" x14ac:dyDescent="0.25">
      <c r="A38" s="2" t="s">
        <v>81</v>
      </c>
      <c r="B38">
        <f>+B20/3</f>
        <v>3.8101333333333334E-2</v>
      </c>
      <c r="C38">
        <f t="shared" ref="C38:BN39" si="10">+C20/3</f>
        <v>8.4707333333333343E-2</v>
      </c>
      <c r="D38">
        <f t="shared" si="10"/>
        <v>7.5882999999999992E-2</v>
      </c>
      <c r="E38">
        <f t="shared" si="10"/>
        <v>0.10723300000000001</v>
      </c>
      <c r="F38">
        <f t="shared" si="10"/>
        <v>8.4251333333333331E-2</v>
      </c>
      <c r="G38">
        <f t="shared" si="10"/>
        <v>5.492233333333333E-2</v>
      </c>
      <c r="H38">
        <f t="shared" si="10"/>
        <v>8.7278666666666671E-2</v>
      </c>
      <c r="I38">
        <f t="shared" si="10"/>
        <v>6.6558999999999993E-2</v>
      </c>
      <c r="J38">
        <f t="shared" si="10"/>
        <v>6.8378000000000008E-2</v>
      </c>
      <c r="K38">
        <f t="shared" si="10"/>
        <v>3.3401E-2</v>
      </c>
      <c r="L38">
        <f t="shared" si="10"/>
        <v>7.0108333333333342E-2</v>
      </c>
      <c r="M38">
        <f t="shared" si="10"/>
        <v>4.9829333333333337E-2</v>
      </c>
      <c r="N38">
        <f t="shared" si="10"/>
        <v>4.4199333333333334E-2</v>
      </c>
      <c r="O38">
        <f t="shared" si="10"/>
        <v>6.3753999999999991E-2</v>
      </c>
      <c r="P38">
        <f t="shared" si="10"/>
        <v>8.9115666666666662E-2</v>
      </c>
      <c r="Q38">
        <f t="shared" si="10"/>
        <v>0.196738</v>
      </c>
      <c r="R38">
        <f t="shared" si="10"/>
        <v>0.20743199999999998</v>
      </c>
      <c r="S38">
        <f t="shared" si="10"/>
        <v>0.30360033333333331</v>
      </c>
      <c r="T38">
        <f t="shared" si="10"/>
        <v>0.20443333333333333</v>
      </c>
      <c r="U38">
        <f t="shared" si="10"/>
        <v>0.18112666666666666</v>
      </c>
      <c r="V38">
        <f t="shared" si="10"/>
        <v>6.4538333333333336E-2</v>
      </c>
      <c r="W38">
        <f t="shared" si="10"/>
        <v>1.8747666666666666E-2</v>
      </c>
      <c r="X38">
        <f t="shared" si="10"/>
        <v>1.8342000000000001E-2</v>
      </c>
      <c r="Y38">
        <f t="shared" si="10"/>
        <v>2.2582333333333333E-2</v>
      </c>
      <c r="Z38">
        <f t="shared" si="10"/>
        <v>2.993433333333333E-2</v>
      </c>
      <c r="AA38">
        <f t="shared" si="10"/>
        <v>5.7983333333333331E-2</v>
      </c>
      <c r="AB38">
        <f t="shared" si="10"/>
        <v>3.6248666666666665E-2</v>
      </c>
      <c r="AC38">
        <f t="shared" si="10"/>
        <v>4.5302000000000002E-2</v>
      </c>
      <c r="AD38">
        <f t="shared" si="10"/>
        <v>4.9797333333333332E-2</v>
      </c>
      <c r="AE38">
        <f t="shared" si="10"/>
        <v>7.8090000000000007E-2</v>
      </c>
      <c r="AF38">
        <f t="shared" si="10"/>
        <v>5.6223666666666665E-2</v>
      </c>
      <c r="AG38">
        <f t="shared" si="10"/>
        <v>5.1472999999999998E-2</v>
      </c>
      <c r="AH38">
        <f t="shared" si="10"/>
        <v>4.6573333333333335E-2</v>
      </c>
      <c r="AI38">
        <f t="shared" si="10"/>
        <v>2.9550666666666666E-2</v>
      </c>
      <c r="AJ38">
        <f t="shared" si="10"/>
        <v>5.841933333333333E-2</v>
      </c>
      <c r="AK38">
        <f t="shared" si="10"/>
        <v>7.5959666666666661E-2</v>
      </c>
      <c r="AL38">
        <f t="shared" si="10"/>
        <v>4.2054666666666664E-2</v>
      </c>
      <c r="AM38">
        <f t="shared" si="10"/>
        <v>0.10096866666666666</v>
      </c>
      <c r="AN38">
        <f t="shared" si="10"/>
        <v>9.0726333333333339E-2</v>
      </c>
      <c r="AO38">
        <f t="shared" si="10"/>
        <v>9.3831333333333336E-2</v>
      </c>
      <c r="AP38">
        <f t="shared" si="10"/>
        <v>0.10337533333333333</v>
      </c>
      <c r="AQ38">
        <f t="shared" si="10"/>
        <v>0.12825699999999998</v>
      </c>
      <c r="AR38">
        <f t="shared" si="10"/>
        <v>0.12164700000000001</v>
      </c>
      <c r="AS38">
        <f t="shared" si="10"/>
        <v>0.158245</v>
      </c>
      <c r="AT38">
        <f t="shared" si="10"/>
        <v>2.2729333333333334E-2</v>
      </c>
      <c r="AU38">
        <f t="shared" si="10"/>
        <v>3.7246333333333333E-2</v>
      </c>
      <c r="AV38">
        <f t="shared" si="10"/>
        <v>4.5798999999999999E-2</v>
      </c>
      <c r="AW38">
        <f t="shared" si="10"/>
        <v>3.4462333333333338E-2</v>
      </c>
      <c r="AX38">
        <f t="shared" si="10"/>
        <v>4.326166666666667E-2</v>
      </c>
      <c r="AY38">
        <f t="shared" si="10"/>
        <v>4.4093E-2</v>
      </c>
      <c r="AZ38">
        <f t="shared" si="10"/>
        <v>4.1307666666666666E-2</v>
      </c>
      <c r="BA38">
        <f t="shared" si="10"/>
        <v>6.1366666666666674E-2</v>
      </c>
      <c r="BB38">
        <f t="shared" si="10"/>
        <v>0.3317856666666667</v>
      </c>
      <c r="BC38">
        <f t="shared" si="10"/>
        <v>0.19291100000000003</v>
      </c>
      <c r="BD38">
        <f t="shared" si="10"/>
        <v>0.18590999999999999</v>
      </c>
      <c r="BE38">
        <f t="shared" si="10"/>
        <v>2.3345666666666667E-2</v>
      </c>
      <c r="BF38">
        <f t="shared" si="10"/>
        <v>6.4655666666666667E-2</v>
      </c>
      <c r="BG38">
        <f t="shared" si="10"/>
        <v>0.13061933333333334</v>
      </c>
      <c r="BH38">
        <f t="shared" si="10"/>
        <v>0.11355566666666667</v>
      </c>
      <c r="BI38">
        <f t="shared" si="10"/>
        <v>0.11320633333333334</v>
      </c>
      <c r="BJ38">
        <f t="shared" si="10"/>
        <v>2.9992666666666667E-2</v>
      </c>
      <c r="BK38">
        <f t="shared" si="10"/>
        <v>0.106354</v>
      </c>
      <c r="BL38">
        <f t="shared" si="10"/>
        <v>7.0438666666666663E-2</v>
      </c>
      <c r="BM38">
        <f t="shared" si="10"/>
        <v>4.7268999999999999E-2</v>
      </c>
      <c r="BN38">
        <f t="shared" si="10"/>
        <v>0.33351566666666671</v>
      </c>
      <c r="BO38">
        <f t="shared" ref="BO38:CC42" si="11">+BO20/3</f>
        <v>2.2473333333333331E-2</v>
      </c>
      <c r="BP38">
        <f t="shared" si="11"/>
        <v>5.659433333333333E-2</v>
      </c>
      <c r="BQ38">
        <f t="shared" si="11"/>
        <v>5.3966666666666663E-2</v>
      </c>
      <c r="BR38">
        <f t="shared" si="11"/>
        <v>0.159772</v>
      </c>
      <c r="BS38">
        <f t="shared" si="11"/>
        <v>0.10702333333333335</v>
      </c>
      <c r="BT38">
        <f t="shared" si="11"/>
        <v>0.13048666666666667</v>
      </c>
      <c r="BU38">
        <f t="shared" si="11"/>
        <v>6.1544666666666664E-2</v>
      </c>
      <c r="BV38">
        <f t="shared" si="11"/>
        <v>0.14809466666666668</v>
      </c>
      <c r="BW38">
        <f t="shared" si="11"/>
        <v>7.7906666666666666E-2</v>
      </c>
      <c r="BX38">
        <f t="shared" si="11"/>
        <v>9.6221000000000001E-2</v>
      </c>
      <c r="BY38">
        <f t="shared" si="11"/>
        <v>6.4212000000000005E-2</v>
      </c>
      <c r="BZ38">
        <f t="shared" si="11"/>
        <v>0.11347600000000001</v>
      </c>
      <c r="CA38">
        <f t="shared" si="11"/>
        <v>7.240566666666666E-2</v>
      </c>
      <c r="CB38">
        <f t="shared" si="11"/>
        <v>8.5837666666666659E-2</v>
      </c>
      <c r="CC38">
        <f t="shared" si="11"/>
        <v>5.9999666666666666E-2</v>
      </c>
    </row>
    <row r="39" spans="1:81" ht="15.75" x14ac:dyDescent="0.25">
      <c r="A39" s="2" t="s">
        <v>82</v>
      </c>
      <c r="B39">
        <f t="shared" ref="B39:Q53" si="12">+B21/3</f>
        <v>2.8039333333333333E-2</v>
      </c>
      <c r="C39">
        <f t="shared" si="12"/>
        <v>3.4985666666666665E-2</v>
      </c>
      <c r="D39">
        <f t="shared" si="12"/>
        <v>3.0422000000000001E-2</v>
      </c>
      <c r="E39">
        <f t="shared" si="12"/>
        <v>3.0146999999999997E-2</v>
      </c>
      <c r="F39">
        <f t="shared" si="12"/>
        <v>1.4208E-2</v>
      </c>
      <c r="G39">
        <f t="shared" si="12"/>
        <v>3.231666666666667E-3</v>
      </c>
      <c r="H39">
        <f t="shared" si="12"/>
        <v>2.4407666666666664E-2</v>
      </c>
      <c r="I39">
        <f t="shared" si="12"/>
        <v>1.7878666666666668E-2</v>
      </c>
      <c r="J39">
        <f t="shared" si="12"/>
        <v>2.3471000000000002E-2</v>
      </c>
      <c r="K39">
        <f t="shared" si="12"/>
        <v>3.1773333333333334E-2</v>
      </c>
      <c r="L39">
        <f t="shared" si="12"/>
        <v>4.8117E-2</v>
      </c>
      <c r="M39" t="e">
        <f t="shared" si="12"/>
        <v>#VALUE!</v>
      </c>
      <c r="N39" t="e">
        <f t="shared" si="12"/>
        <v>#VALUE!</v>
      </c>
      <c r="O39" t="e">
        <f t="shared" si="12"/>
        <v>#VALUE!</v>
      </c>
      <c r="P39" t="e">
        <f t="shared" si="12"/>
        <v>#VALUE!</v>
      </c>
      <c r="Q39" t="e">
        <f t="shared" si="12"/>
        <v>#VALUE!</v>
      </c>
      <c r="R39" t="e">
        <f t="shared" si="10"/>
        <v>#VALUE!</v>
      </c>
      <c r="S39" t="e">
        <f t="shared" si="10"/>
        <v>#VALUE!</v>
      </c>
      <c r="T39" t="e">
        <f t="shared" si="10"/>
        <v>#VALUE!</v>
      </c>
      <c r="U39">
        <f t="shared" si="10"/>
        <v>3.5143333333333332E-2</v>
      </c>
      <c r="V39" t="e">
        <f t="shared" si="10"/>
        <v>#VALUE!</v>
      </c>
      <c r="W39" t="e">
        <f t="shared" si="10"/>
        <v>#VALUE!</v>
      </c>
      <c r="X39" t="e">
        <f t="shared" si="10"/>
        <v>#VALUE!</v>
      </c>
      <c r="Y39">
        <f t="shared" si="10"/>
        <v>2.5044333333333335E-2</v>
      </c>
      <c r="Z39">
        <f t="shared" si="10"/>
        <v>1.2256999999999999E-2</v>
      </c>
      <c r="AA39">
        <f t="shared" si="10"/>
        <v>1.9499666666666669E-2</v>
      </c>
      <c r="AB39">
        <f t="shared" si="10"/>
        <v>5.195666666666667E-3</v>
      </c>
      <c r="AC39">
        <f t="shared" si="10"/>
        <v>6.4056666666666671E-3</v>
      </c>
      <c r="AD39" t="e">
        <f t="shared" si="10"/>
        <v>#VALUE!</v>
      </c>
      <c r="AE39" t="e">
        <f t="shared" si="10"/>
        <v>#VALUE!</v>
      </c>
      <c r="AF39" t="e">
        <f t="shared" si="10"/>
        <v>#VALUE!</v>
      </c>
      <c r="AG39" t="e">
        <f t="shared" si="10"/>
        <v>#VALUE!</v>
      </c>
      <c r="AH39" t="e">
        <f t="shared" si="10"/>
        <v>#VALUE!</v>
      </c>
      <c r="AI39" t="e">
        <f t="shared" si="10"/>
        <v>#VALUE!</v>
      </c>
      <c r="AJ39" t="e">
        <f t="shared" si="10"/>
        <v>#VALUE!</v>
      </c>
      <c r="AK39" t="e">
        <f t="shared" si="10"/>
        <v>#VALUE!</v>
      </c>
      <c r="AL39" t="e">
        <f t="shared" si="10"/>
        <v>#VALUE!</v>
      </c>
      <c r="AM39" t="e">
        <f t="shared" si="10"/>
        <v>#VALUE!</v>
      </c>
      <c r="AN39" t="e">
        <f t="shared" si="10"/>
        <v>#VALUE!</v>
      </c>
      <c r="AO39" t="e">
        <f t="shared" si="10"/>
        <v>#VALUE!</v>
      </c>
      <c r="AP39" t="e">
        <f t="shared" si="10"/>
        <v>#VALUE!</v>
      </c>
      <c r="AQ39" t="e">
        <f t="shared" si="10"/>
        <v>#VALUE!</v>
      </c>
      <c r="AR39" t="e">
        <f t="shared" si="10"/>
        <v>#VALUE!</v>
      </c>
      <c r="AS39" t="e">
        <f t="shared" si="10"/>
        <v>#VALUE!</v>
      </c>
      <c r="AT39" t="e">
        <f t="shared" si="10"/>
        <v>#VALUE!</v>
      </c>
      <c r="AU39" t="e">
        <f t="shared" si="10"/>
        <v>#VALUE!</v>
      </c>
      <c r="AV39" t="e">
        <f t="shared" si="10"/>
        <v>#VALUE!</v>
      </c>
      <c r="AW39" t="e">
        <f t="shared" si="10"/>
        <v>#VALUE!</v>
      </c>
      <c r="AX39" t="e">
        <f t="shared" si="10"/>
        <v>#VALUE!</v>
      </c>
      <c r="AY39">
        <f t="shared" si="10"/>
        <v>0</v>
      </c>
      <c r="AZ39">
        <f t="shared" si="10"/>
        <v>2.3632666666666666E-2</v>
      </c>
      <c r="BA39">
        <f t="shared" si="10"/>
        <v>5.0990000000000001E-2</v>
      </c>
      <c r="BB39" t="e">
        <f t="shared" si="10"/>
        <v>#VALUE!</v>
      </c>
      <c r="BC39" t="e">
        <f t="shared" si="10"/>
        <v>#VALUE!</v>
      </c>
      <c r="BD39" t="e">
        <f t="shared" si="10"/>
        <v>#VALUE!</v>
      </c>
      <c r="BE39" t="e">
        <f t="shared" si="10"/>
        <v>#VALUE!</v>
      </c>
      <c r="BF39" t="e">
        <f t="shared" si="10"/>
        <v>#VALUE!</v>
      </c>
      <c r="BG39">
        <f t="shared" si="10"/>
        <v>0</v>
      </c>
      <c r="BH39" t="e">
        <f t="shared" si="10"/>
        <v>#VALUE!</v>
      </c>
      <c r="BI39" t="e">
        <f t="shared" si="10"/>
        <v>#VALUE!</v>
      </c>
      <c r="BJ39" t="e">
        <f t="shared" si="10"/>
        <v>#VALUE!</v>
      </c>
      <c r="BK39">
        <f t="shared" si="10"/>
        <v>2.0932999999999997E-2</v>
      </c>
      <c r="BL39" t="e">
        <f t="shared" si="10"/>
        <v>#VALUE!</v>
      </c>
      <c r="BM39" t="e">
        <f t="shared" si="10"/>
        <v>#VALUE!</v>
      </c>
      <c r="BN39">
        <f t="shared" si="10"/>
        <v>1.0958666666666667E-2</v>
      </c>
      <c r="BO39">
        <f t="shared" si="11"/>
        <v>4.3600000000000002E-3</v>
      </c>
      <c r="BP39">
        <f t="shared" si="11"/>
        <v>1.2287333333333332E-2</v>
      </c>
      <c r="BQ39">
        <f t="shared" si="11"/>
        <v>4.705E-3</v>
      </c>
      <c r="BR39" t="e">
        <f t="shared" si="11"/>
        <v>#VALUE!</v>
      </c>
      <c r="BS39" t="e">
        <f t="shared" si="11"/>
        <v>#VALUE!</v>
      </c>
      <c r="BT39" t="e">
        <f t="shared" si="11"/>
        <v>#VALUE!</v>
      </c>
      <c r="BU39" t="e">
        <f t="shared" si="11"/>
        <v>#VALUE!</v>
      </c>
      <c r="BV39" t="e">
        <f t="shared" si="11"/>
        <v>#VALUE!</v>
      </c>
      <c r="BW39" t="e">
        <f t="shared" si="11"/>
        <v>#VALUE!</v>
      </c>
      <c r="BX39" t="e">
        <f t="shared" si="11"/>
        <v>#VALUE!</v>
      </c>
      <c r="BY39" t="e">
        <f t="shared" si="11"/>
        <v>#VALUE!</v>
      </c>
      <c r="BZ39" t="e">
        <f t="shared" si="11"/>
        <v>#VALUE!</v>
      </c>
      <c r="CA39" t="e">
        <f t="shared" si="11"/>
        <v>#VALUE!</v>
      </c>
      <c r="CB39" t="e">
        <f t="shared" si="11"/>
        <v>#VALUE!</v>
      </c>
      <c r="CC39" t="e">
        <f t="shared" si="11"/>
        <v>#VALUE!</v>
      </c>
    </row>
    <row r="40" spans="1:81" ht="15.75" x14ac:dyDescent="0.25">
      <c r="A40" s="2" t="s">
        <v>85</v>
      </c>
      <c r="B40" t="e">
        <f t="shared" si="12"/>
        <v>#VALUE!</v>
      </c>
      <c r="C40">
        <f t="shared" ref="C40:BN43" si="13">+C22/3</f>
        <v>6.8906666666666665E-3</v>
      </c>
      <c r="D40">
        <f t="shared" si="13"/>
        <v>1.0223333333333332E-3</v>
      </c>
      <c r="E40">
        <f t="shared" si="13"/>
        <v>7.4899999999999999E-4</v>
      </c>
      <c r="F40" t="e">
        <f t="shared" si="13"/>
        <v>#VALUE!</v>
      </c>
      <c r="G40" t="e">
        <f t="shared" si="13"/>
        <v>#VALUE!</v>
      </c>
      <c r="H40" t="e">
        <f t="shared" si="13"/>
        <v>#VALUE!</v>
      </c>
      <c r="I40">
        <f t="shared" si="13"/>
        <v>7.1550000000000008E-3</v>
      </c>
      <c r="J40" t="e">
        <f t="shared" si="13"/>
        <v>#VALUE!</v>
      </c>
      <c r="K40" t="e">
        <f t="shared" si="13"/>
        <v>#VALUE!</v>
      </c>
      <c r="L40" t="e">
        <f t="shared" si="13"/>
        <v>#VALUE!</v>
      </c>
      <c r="M40">
        <f t="shared" si="13"/>
        <v>5.6516666666666668E-3</v>
      </c>
      <c r="N40" t="e">
        <f t="shared" si="13"/>
        <v>#VALUE!</v>
      </c>
      <c r="O40" t="e">
        <f t="shared" si="13"/>
        <v>#VALUE!</v>
      </c>
      <c r="P40" t="e">
        <f t="shared" si="13"/>
        <v>#VALUE!</v>
      </c>
      <c r="Q40">
        <f t="shared" si="13"/>
        <v>2.8256666666666669E-3</v>
      </c>
      <c r="R40" t="e">
        <f t="shared" si="13"/>
        <v>#VALUE!</v>
      </c>
      <c r="S40">
        <f t="shared" si="13"/>
        <v>4.9106666666666665E-3</v>
      </c>
      <c r="T40" t="e">
        <f t="shared" si="13"/>
        <v>#VALUE!</v>
      </c>
      <c r="U40" t="e">
        <f t="shared" si="13"/>
        <v>#VALUE!</v>
      </c>
      <c r="V40" t="e">
        <f t="shared" si="13"/>
        <v>#VALUE!</v>
      </c>
      <c r="W40">
        <f t="shared" si="13"/>
        <v>3.4846666666666667E-3</v>
      </c>
      <c r="X40" t="e">
        <f t="shared" si="13"/>
        <v>#VALUE!</v>
      </c>
      <c r="Y40" t="e">
        <f t="shared" si="13"/>
        <v>#VALUE!</v>
      </c>
      <c r="Z40" t="e">
        <f t="shared" si="13"/>
        <v>#VALUE!</v>
      </c>
      <c r="AA40">
        <f t="shared" si="13"/>
        <v>1.9613333333333336E-3</v>
      </c>
      <c r="AB40" t="e">
        <f t="shared" si="13"/>
        <v>#VALUE!</v>
      </c>
      <c r="AC40" t="e">
        <f t="shared" si="13"/>
        <v>#VALUE!</v>
      </c>
      <c r="AD40" t="e">
        <f t="shared" si="13"/>
        <v>#VALUE!</v>
      </c>
      <c r="AE40">
        <f t="shared" si="13"/>
        <v>3.4246666666666666E-3</v>
      </c>
      <c r="AF40" t="e">
        <f t="shared" si="13"/>
        <v>#VALUE!</v>
      </c>
      <c r="AG40" t="e">
        <f t="shared" si="13"/>
        <v>#VALUE!</v>
      </c>
      <c r="AH40" t="e">
        <f t="shared" si="13"/>
        <v>#VALUE!</v>
      </c>
      <c r="AI40" t="e">
        <f t="shared" si="13"/>
        <v>#VALUE!</v>
      </c>
      <c r="AJ40" t="e">
        <f t="shared" si="13"/>
        <v>#VALUE!</v>
      </c>
      <c r="AK40">
        <f t="shared" si="13"/>
        <v>3.6806666666666667E-3</v>
      </c>
      <c r="AL40" t="e">
        <f t="shared" si="13"/>
        <v>#VALUE!</v>
      </c>
      <c r="AM40" t="e">
        <f t="shared" si="13"/>
        <v>#VALUE!</v>
      </c>
      <c r="AN40" t="e">
        <f t="shared" si="13"/>
        <v>#VALUE!</v>
      </c>
      <c r="AO40" t="e">
        <f t="shared" si="13"/>
        <v>#VALUE!</v>
      </c>
      <c r="AP40" t="e">
        <f t="shared" si="13"/>
        <v>#VALUE!</v>
      </c>
      <c r="AQ40">
        <f t="shared" si="13"/>
        <v>3.6343333333333332E-3</v>
      </c>
      <c r="AR40" t="e">
        <f t="shared" si="13"/>
        <v>#VALUE!</v>
      </c>
      <c r="AS40" t="e">
        <f t="shared" si="13"/>
        <v>#VALUE!</v>
      </c>
      <c r="AT40" t="e">
        <f t="shared" si="13"/>
        <v>#VALUE!</v>
      </c>
      <c r="AU40" t="e">
        <f t="shared" si="13"/>
        <v>#VALUE!</v>
      </c>
      <c r="AV40" t="e">
        <f t="shared" si="13"/>
        <v>#VALUE!</v>
      </c>
      <c r="AW40">
        <f t="shared" si="13"/>
        <v>3.5330000000000001E-3</v>
      </c>
      <c r="AX40" t="e">
        <f t="shared" si="13"/>
        <v>#VALUE!</v>
      </c>
      <c r="AY40">
        <f t="shared" si="13"/>
        <v>5.359E-3</v>
      </c>
      <c r="AZ40">
        <f t="shared" si="13"/>
        <v>3.3649999999999999E-3</v>
      </c>
      <c r="BA40" t="e">
        <f t="shared" si="13"/>
        <v>#VALUE!</v>
      </c>
      <c r="BB40" t="e">
        <f t="shared" si="13"/>
        <v>#VALUE!</v>
      </c>
      <c r="BC40" t="e">
        <f t="shared" si="13"/>
        <v>#VALUE!</v>
      </c>
      <c r="BD40" t="e">
        <f t="shared" si="13"/>
        <v>#VALUE!</v>
      </c>
      <c r="BE40">
        <f t="shared" si="13"/>
        <v>1.7193333333333333E-3</v>
      </c>
      <c r="BF40" t="e">
        <f t="shared" si="13"/>
        <v>#VALUE!</v>
      </c>
      <c r="BG40">
        <f t="shared" si="13"/>
        <v>2.9320000000000001E-3</v>
      </c>
      <c r="BH40" t="e">
        <f t="shared" si="13"/>
        <v>#VALUE!</v>
      </c>
      <c r="BI40" t="e">
        <f t="shared" si="13"/>
        <v>#VALUE!</v>
      </c>
      <c r="BJ40" t="e">
        <f t="shared" si="13"/>
        <v>#VALUE!</v>
      </c>
      <c r="BK40">
        <f t="shared" si="13"/>
        <v>1.1645666666666667E-2</v>
      </c>
      <c r="BL40" t="e">
        <f t="shared" si="13"/>
        <v>#VALUE!</v>
      </c>
      <c r="BM40" t="e">
        <f t="shared" si="13"/>
        <v>#VALUE!</v>
      </c>
      <c r="BN40" t="e">
        <f t="shared" si="13"/>
        <v>#VALUE!</v>
      </c>
      <c r="BO40">
        <f t="shared" si="11"/>
        <v>1.5786666666666666E-3</v>
      </c>
      <c r="BP40" t="e">
        <f t="shared" si="11"/>
        <v>#VALUE!</v>
      </c>
      <c r="BQ40" t="e">
        <f t="shared" si="11"/>
        <v>#VALUE!</v>
      </c>
      <c r="BR40" t="e">
        <f t="shared" si="11"/>
        <v>#VALUE!</v>
      </c>
      <c r="BS40" t="e">
        <f t="shared" si="11"/>
        <v>#VALUE!</v>
      </c>
      <c r="BT40" t="e">
        <f t="shared" si="11"/>
        <v>#VALUE!</v>
      </c>
      <c r="BU40">
        <f t="shared" si="11"/>
        <v>2.4246666666666666E-3</v>
      </c>
      <c r="BV40" t="e">
        <f t="shared" si="11"/>
        <v>#VALUE!</v>
      </c>
      <c r="BW40">
        <f t="shared" si="11"/>
        <v>5.9716666666666668E-3</v>
      </c>
      <c r="BX40" t="e">
        <f t="shared" si="11"/>
        <v>#VALUE!</v>
      </c>
      <c r="BY40" t="e">
        <f t="shared" si="11"/>
        <v>#VALUE!</v>
      </c>
      <c r="BZ40" t="e">
        <f t="shared" si="11"/>
        <v>#VALUE!</v>
      </c>
      <c r="CA40">
        <f t="shared" si="11"/>
        <v>3.2933333333333334E-3</v>
      </c>
      <c r="CB40" t="e">
        <f t="shared" si="11"/>
        <v>#VALUE!</v>
      </c>
      <c r="CC40" t="e">
        <f t="shared" si="11"/>
        <v>#VALUE!</v>
      </c>
    </row>
    <row r="41" spans="1:81" ht="15.75" x14ac:dyDescent="0.25">
      <c r="A41" s="2" t="s">
        <v>86</v>
      </c>
      <c r="B41" t="e">
        <f t="shared" si="12"/>
        <v>#VALUE!</v>
      </c>
      <c r="C41">
        <f t="shared" si="13"/>
        <v>5.3608999999999997E-2</v>
      </c>
      <c r="D41" t="e">
        <f t="shared" si="13"/>
        <v>#VALUE!</v>
      </c>
      <c r="E41" t="e">
        <f t="shared" si="13"/>
        <v>#VALUE!</v>
      </c>
      <c r="F41" t="e">
        <f t="shared" si="13"/>
        <v>#VALUE!</v>
      </c>
      <c r="G41" t="e">
        <f t="shared" si="13"/>
        <v>#VALUE!</v>
      </c>
      <c r="H41" t="e">
        <f t="shared" si="13"/>
        <v>#VALUE!</v>
      </c>
      <c r="I41">
        <f t="shared" si="13"/>
        <v>8.158633333333333E-2</v>
      </c>
      <c r="J41" t="e">
        <f t="shared" si="13"/>
        <v>#VALUE!</v>
      </c>
      <c r="K41" t="e">
        <f t="shared" si="13"/>
        <v>#VALUE!</v>
      </c>
      <c r="L41" t="e">
        <f t="shared" si="13"/>
        <v>#VALUE!</v>
      </c>
      <c r="M41">
        <f t="shared" si="13"/>
        <v>4.3678666666666671E-2</v>
      </c>
      <c r="N41" t="e">
        <f t="shared" si="13"/>
        <v>#VALUE!</v>
      </c>
      <c r="O41" t="e">
        <f t="shared" si="13"/>
        <v>#VALUE!</v>
      </c>
      <c r="P41" t="e">
        <f t="shared" si="13"/>
        <v>#VALUE!</v>
      </c>
      <c r="Q41">
        <f t="shared" si="13"/>
        <v>2.4548333333333335E-2</v>
      </c>
      <c r="R41" t="e">
        <f t="shared" si="13"/>
        <v>#VALUE!</v>
      </c>
      <c r="S41">
        <f t="shared" si="13"/>
        <v>8.8976333333333338E-2</v>
      </c>
      <c r="T41" t="e">
        <f t="shared" si="13"/>
        <v>#VALUE!</v>
      </c>
      <c r="U41" t="e">
        <f t="shared" si="13"/>
        <v>#VALUE!</v>
      </c>
      <c r="V41" t="e">
        <f t="shared" si="13"/>
        <v>#VALUE!</v>
      </c>
      <c r="W41">
        <f t="shared" si="13"/>
        <v>1.3803000000000001E-2</v>
      </c>
      <c r="X41" t="e">
        <f t="shared" si="13"/>
        <v>#VALUE!</v>
      </c>
      <c r="Y41" t="e">
        <f t="shared" si="13"/>
        <v>#VALUE!</v>
      </c>
      <c r="Z41" t="e">
        <f t="shared" si="13"/>
        <v>#VALUE!</v>
      </c>
      <c r="AA41">
        <f t="shared" si="13"/>
        <v>1.5349666666666666E-2</v>
      </c>
      <c r="AB41" t="e">
        <f t="shared" si="13"/>
        <v>#VALUE!</v>
      </c>
      <c r="AC41" t="e">
        <f t="shared" si="13"/>
        <v>#VALUE!</v>
      </c>
      <c r="AD41" t="e">
        <f t="shared" si="13"/>
        <v>#VALUE!</v>
      </c>
      <c r="AE41">
        <f t="shared" si="13"/>
        <v>2.6672000000000001E-2</v>
      </c>
      <c r="AF41" t="e">
        <f t="shared" si="13"/>
        <v>#VALUE!</v>
      </c>
      <c r="AG41" t="e">
        <f t="shared" si="13"/>
        <v>#VALUE!</v>
      </c>
      <c r="AH41" t="e">
        <f t="shared" si="13"/>
        <v>#VALUE!</v>
      </c>
      <c r="AI41" t="e">
        <f t="shared" si="13"/>
        <v>#VALUE!</v>
      </c>
      <c r="AJ41" t="e">
        <f t="shared" si="13"/>
        <v>#VALUE!</v>
      </c>
      <c r="AK41">
        <f t="shared" si="13"/>
        <v>2.4993666666666668E-2</v>
      </c>
      <c r="AL41" t="e">
        <f t="shared" si="13"/>
        <v>#VALUE!</v>
      </c>
      <c r="AM41" t="e">
        <f t="shared" si="13"/>
        <v>#VALUE!</v>
      </c>
      <c r="AN41" t="e">
        <f t="shared" si="13"/>
        <v>#VALUE!</v>
      </c>
      <c r="AO41" t="e">
        <f t="shared" si="13"/>
        <v>#VALUE!</v>
      </c>
      <c r="AP41" t="e">
        <f t="shared" si="13"/>
        <v>#VALUE!</v>
      </c>
      <c r="AQ41">
        <f t="shared" si="13"/>
        <v>5.6769999999999994E-2</v>
      </c>
      <c r="AR41" t="e">
        <f t="shared" si="13"/>
        <v>#VALUE!</v>
      </c>
      <c r="AS41" t="e">
        <f t="shared" si="13"/>
        <v>#VALUE!</v>
      </c>
      <c r="AT41" t="e">
        <f t="shared" si="13"/>
        <v>#VALUE!</v>
      </c>
      <c r="AU41" t="e">
        <f t="shared" si="13"/>
        <v>#VALUE!</v>
      </c>
      <c r="AV41" t="e">
        <f t="shared" si="13"/>
        <v>#VALUE!</v>
      </c>
      <c r="AW41">
        <f t="shared" si="13"/>
        <v>5.5650666666666661E-2</v>
      </c>
      <c r="AX41" t="e">
        <f t="shared" si="13"/>
        <v>#VALUE!</v>
      </c>
      <c r="AY41">
        <f t="shared" si="13"/>
        <v>0.10484300000000001</v>
      </c>
      <c r="AZ41" t="e">
        <f t="shared" si="13"/>
        <v>#VALUE!</v>
      </c>
      <c r="BA41" t="e">
        <f t="shared" si="13"/>
        <v>#VALUE!</v>
      </c>
      <c r="BB41" t="e">
        <f t="shared" si="13"/>
        <v>#VALUE!</v>
      </c>
      <c r="BC41" t="e">
        <f t="shared" si="13"/>
        <v>#VALUE!</v>
      </c>
      <c r="BD41" t="e">
        <f t="shared" si="13"/>
        <v>#VALUE!</v>
      </c>
      <c r="BE41">
        <f t="shared" si="13"/>
        <v>8.2956666666666665E-3</v>
      </c>
      <c r="BF41" t="e">
        <f t="shared" si="13"/>
        <v>#VALUE!</v>
      </c>
      <c r="BG41">
        <f t="shared" si="13"/>
        <v>3.0155000000000001E-2</v>
      </c>
      <c r="BH41" t="e">
        <f t="shared" si="13"/>
        <v>#VALUE!</v>
      </c>
      <c r="BI41" t="e">
        <f t="shared" si="13"/>
        <v>#VALUE!</v>
      </c>
      <c r="BJ41" t="e">
        <f t="shared" si="13"/>
        <v>#VALUE!</v>
      </c>
      <c r="BK41">
        <f t="shared" si="13"/>
        <v>4.4615666666666665E-2</v>
      </c>
      <c r="BL41" t="e">
        <f t="shared" si="13"/>
        <v>#VALUE!</v>
      </c>
      <c r="BM41" t="e">
        <f t="shared" si="13"/>
        <v>#VALUE!</v>
      </c>
      <c r="BN41" t="e">
        <f t="shared" si="13"/>
        <v>#VALUE!</v>
      </c>
      <c r="BO41">
        <f t="shared" si="11"/>
        <v>1.5600333333333334E-2</v>
      </c>
      <c r="BP41" t="e">
        <f t="shared" si="11"/>
        <v>#VALUE!</v>
      </c>
      <c r="BQ41" t="e">
        <f t="shared" si="11"/>
        <v>#VALUE!</v>
      </c>
      <c r="BR41" t="e">
        <f t="shared" si="11"/>
        <v>#VALUE!</v>
      </c>
      <c r="BS41" t="e">
        <f t="shared" si="11"/>
        <v>#VALUE!</v>
      </c>
      <c r="BT41" t="e">
        <f t="shared" si="11"/>
        <v>#VALUE!</v>
      </c>
      <c r="BU41">
        <f t="shared" si="11"/>
        <v>2.1603333333333331E-3</v>
      </c>
      <c r="BV41" t="e">
        <f t="shared" si="11"/>
        <v>#VALUE!</v>
      </c>
      <c r="BW41">
        <f t="shared" si="11"/>
        <v>4.2988666666666668E-2</v>
      </c>
      <c r="BX41" t="e">
        <f t="shared" si="11"/>
        <v>#VALUE!</v>
      </c>
      <c r="BY41" t="e">
        <f t="shared" si="11"/>
        <v>#VALUE!</v>
      </c>
      <c r="BZ41" t="e">
        <f t="shared" si="11"/>
        <v>#VALUE!</v>
      </c>
      <c r="CA41">
        <f t="shared" si="11"/>
        <v>1.5226999999999999E-2</v>
      </c>
      <c r="CB41" t="e">
        <f t="shared" si="11"/>
        <v>#VALUE!</v>
      </c>
      <c r="CC41" t="e">
        <f t="shared" si="11"/>
        <v>#VALUE!</v>
      </c>
    </row>
    <row r="42" spans="1:81" ht="15.75" x14ac:dyDescent="0.25">
      <c r="A42" s="2" t="s">
        <v>87</v>
      </c>
      <c r="B42" t="e">
        <f t="shared" si="12"/>
        <v>#VALUE!</v>
      </c>
      <c r="C42">
        <f t="shared" si="13"/>
        <v>3.1739999999999997E-3</v>
      </c>
      <c r="D42" t="e">
        <f t="shared" si="13"/>
        <v>#VALUE!</v>
      </c>
      <c r="E42" t="e">
        <f t="shared" si="13"/>
        <v>#VALUE!</v>
      </c>
      <c r="F42" t="e">
        <f t="shared" si="13"/>
        <v>#VALUE!</v>
      </c>
      <c r="G42" t="e">
        <f t="shared" si="13"/>
        <v>#VALUE!</v>
      </c>
      <c r="H42" t="e">
        <f t="shared" si="13"/>
        <v>#VALUE!</v>
      </c>
      <c r="I42">
        <f t="shared" si="13"/>
        <v>7.3166666666666666E-3</v>
      </c>
      <c r="J42" t="e">
        <f t="shared" si="13"/>
        <v>#VALUE!</v>
      </c>
      <c r="K42" t="e">
        <f t="shared" si="13"/>
        <v>#VALUE!</v>
      </c>
      <c r="L42" t="e">
        <f t="shared" si="13"/>
        <v>#VALUE!</v>
      </c>
      <c r="M42">
        <f t="shared" si="13"/>
        <v>4.411666666666667E-3</v>
      </c>
      <c r="N42" t="e">
        <f t="shared" si="13"/>
        <v>#VALUE!</v>
      </c>
      <c r="O42" t="e">
        <f t="shared" si="13"/>
        <v>#VALUE!</v>
      </c>
      <c r="P42" t="e">
        <f t="shared" si="13"/>
        <v>#VALUE!</v>
      </c>
      <c r="Q42">
        <f t="shared" si="13"/>
        <v>2.0770000000000003E-3</v>
      </c>
      <c r="R42" t="e">
        <f t="shared" si="13"/>
        <v>#VALUE!</v>
      </c>
      <c r="S42">
        <f t="shared" si="13"/>
        <v>8.9040000000000005E-3</v>
      </c>
      <c r="T42" t="e">
        <f t="shared" si="13"/>
        <v>#VALUE!</v>
      </c>
      <c r="U42" t="e">
        <f t="shared" si="13"/>
        <v>#VALUE!</v>
      </c>
      <c r="V42" t="e">
        <f t="shared" si="13"/>
        <v>#VALUE!</v>
      </c>
      <c r="W42">
        <f t="shared" si="13"/>
        <v>1.4166666666666668E-3</v>
      </c>
      <c r="X42" t="e">
        <f t="shared" si="13"/>
        <v>#VALUE!</v>
      </c>
      <c r="Y42" t="e">
        <f t="shared" si="13"/>
        <v>#VALUE!</v>
      </c>
      <c r="Z42" t="e">
        <f t="shared" si="13"/>
        <v>#VALUE!</v>
      </c>
      <c r="AA42">
        <f t="shared" si="13"/>
        <v>1.1703333333333333E-3</v>
      </c>
      <c r="AB42" t="e">
        <f t="shared" si="13"/>
        <v>#VALUE!</v>
      </c>
      <c r="AC42" t="e">
        <f t="shared" si="13"/>
        <v>#VALUE!</v>
      </c>
      <c r="AD42" t="e">
        <f t="shared" si="13"/>
        <v>#VALUE!</v>
      </c>
      <c r="AE42">
        <f t="shared" si="13"/>
        <v>6.4583333333333333E-3</v>
      </c>
      <c r="AF42" t="e">
        <f t="shared" si="13"/>
        <v>#VALUE!</v>
      </c>
      <c r="AG42" t="e">
        <f t="shared" si="13"/>
        <v>#VALUE!</v>
      </c>
      <c r="AH42" t="e">
        <f t="shared" si="13"/>
        <v>#VALUE!</v>
      </c>
      <c r="AI42" t="e">
        <f t="shared" si="13"/>
        <v>#VALUE!</v>
      </c>
      <c r="AJ42" t="e">
        <f t="shared" si="13"/>
        <v>#VALUE!</v>
      </c>
      <c r="AK42">
        <f t="shared" si="13"/>
        <v>2.5430000000000001E-3</v>
      </c>
      <c r="AL42">
        <f t="shared" si="13"/>
        <v>6.7000000000000002E-4</v>
      </c>
      <c r="AM42">
        <f t="shared" si="13"/>
        <v>4.9233333333333334E-4</v>
      </c>
      <c r="AN42">
        <f t="shared" si="13"/>
        <v>1.3896666666666667E-3</v>
      </c>
      <c r="AO42" t="e">
        <f t="shared" si="13"/>
        <v>#VALUE!</v>
      </c>
      <c r="AP42" t="e">
        <f t="shared" si="13"/>
        <v>#VALUE!</v>
      </c>
      <c r="AQ42">
        <f t="shared" si="13"/>
        <v>5.8973333333333334E-3</v>
      </c>
      <c r="AR42" t="e">
        <f t="shared" si="13"/>
        <v>#VALUE!</v>
      </c>
      <c r="AS42" t="e">
        <f t="shared" si="13"/>
        <v>#VALUE!</v>
      </c>
      <c r="AT42" t="e">
        <f t="shared" si="13"/>
        <v>#VALUE!</v>
      </c>
      <c r="AU42" t="e">
        <f t="shared" si="13"/>
        <v>#VALUE!</v>
      </c>
      <c r="AV42" t="e">
        <f t="shared" si="13"/>
        <v>#VALUE!</v>
      </c>
      <c r="AW42">
        <f t="shared" si="13"/>
        <v>6.1526666666666665E-3</v>
      </c>
      <c r="AX42" t="e">
        <f t="shared" si="13"/>
        <v>#VALUE!</v>
      </c>
      <c r="AY42">
        <f t="shared" si="13"/>
        <v>5.0723333333333332E-3</v>
      </c>
      <c r="AZ42" t="e">
        <f t="shared" si="13"/>
        <v>#VALUE!</v>
      </c>
      <c r="BA42" t="e">
        <f t="shared" si="13"/>
        <v>#VALUE!</v>
      </c>
      <c r="BB42" t="e">
        <f t="shared" si="13"/>
        <v>#VALUE!</v>
      </c>
      <c r="BC42" t="e">
        <f t="shared" si="13"/>
        <v>#VALUE!</v>
      </c>
      <c r="BD42" t="e">
        <f t="shared" si="13"/>
        <v>#VALUE!</v>
      </c>
      <c r="BE42">
        <f t="shared" si="13"/>
        <v>7.7399999999999995E-4</v>
      </c>
      <c r="BF42" t="e">
        <f t="shared" si="13"/>
        <v>#VALUE!</v>
      </c>
      <c r="BG42">
        <f t="shared" si="13"/>
        <v>3.2376666666666665E-3</v>
      </c>
      <c r="BH42" t="e">
        <f t="shared" si="13"/>
        <v>#VALUE!</v>
      </c>
      <c r="BI42" t="e">
        <f t="shared" si="13"/>
        <v>#VALUE!</v>
      </c>
      <c r="BJ42" t="e">
        <f t="shared" si="13"/>
        <v>#VALUE!</v>
      </c>
      <c r="BK42">
        <f t="shared" si="13"/>
        <v>5.7776666666666671E-3</v>
      </c>
      <c r="BL42" t="e">
        <f t="shared" si="13"/>
        <v>#VALUE!</v>
      </c>
      <c r="BM42" t="e">
        <f t="shared" si="13"/>
        <v>#VALUE!</v>
      </c>
      <c r="BN42" t="e">
        <f t="shared" si="13"/>
        <v>#VALUE!</v>
      </c>
      <c r="BO42">
        <f t="shared" si="11"/>
        <v>1.2953333333333334E-3</v>
      </c>
      <c r="BP42" t="e">
        <f t="shared" si="11"/>
        <v>#VALUE!</v>
      </c>
      <c r="BQ42" t="e">
        <f t="shared" si="11"/>
        <v>#VALUE!</v>
      </c>
      <c r="BR42" t="e">
        <f t="shared" si="11"/>
        <v>#VALUE!</v>
      </c>
      <c r="BS42" t="e">
        <f t="shared" si="11"/>
        <v>#VALUE!</v>
      </c>
      <c r="BT42" t="e">
        <f t="shared" si="11"/>
        <v>#VALUE!</v>
      </c>
      <c r="BU42">
        <f t="shared" si="11"/>
        <v>2.7810000000000001E-3</v>
      </c>
      <c r="BV42" t="e">
        <f t="shared" si="11"/>
        <v>#VALUE!</v>
      </c>
      <c r="BW42">
        <f t="shared" si="11"/>
        <v>2.9363333333333338E-3</v>
      </c>
      <c r="BX42" t="e">
        <f t="shared" si="11"/>
        <v>#VALUE!</v>
      </c>
      <c r="BY42" t="e">
        <f t="shared" si="11"/>
        <v>#VALUE!</v>
      </c>
      <c r="BZ42" t="e">
        <f t="shared" si="11"/>
        <v>#VALUE!</v>
      </c>
      <c r="CA42">
        <f t="shared" si="11"/>
        <v>2.1389999999999998E-3</v>
      </c>
      <c r="CB42" t="e">
        <f t="shared" si="11"/>
        <v>#VALUE!</v>
      </c>
      <c r="CC42" t="e">
        <f t="shared" si="11"/>
        <v>#VALUE!</v>
      </c>
    </row>
    <row r="43" spans="1:81" ht="15.75" x14ac:dyDescent="0.25">
      <c r="A43" s="2" t="s">
        <v>88</v>
      </c>
      <c r="B43" t="e">
        <f t="shared" si="12"/>
        <v>#VALUE!</v>
      </c>
      <c r="C43">
        <f t="shared" si="13"/>
        <v>1.55E-4</v>
      </c>
      <c r="D43">
        <f t="shared" si="13"/>
        <v>2.4633333333333332E-4</v>
      </c>
      <c r="E43">
        <f t="shared" si="13"/>
        <v>2.6600000000000001E-4</v>
      </c>
      <c r="F43">
        <f t="shared" si="13"/>
        <v>5.4000000000000005E-5</v>
      </c>
      <c r="G43">
        <f t="shared" si="13"/>
        <v>8.833333333333333E-5</v>
      </c>
      <c r="H43">
        <f t="shared" si="13"/>
        <v>1.6233333333333334E-4</v>
      </c>
      <c r="I43" t="e">
        <f t="shared" si="13"/>
        <v>#VALUE!</v>
      </c>
      <c r="J43">
        <f t="shared" si="13"/>
        <v>4.6566666666666669E-4</v>
      </c>
      <c r="K43">
        <f t="shared" si="13"/>
        <v>2.4966666666666665E-4</v>
      </c>
      <c r="L43">
        <f t="shared" si="13"/>
        <v>2.5333333333333333E-4</v>
      </c>
      <c r="M43" t="e">
        <f t="shared" si="13"/>
        <v>#VALUE!</v>
      </c>
      <c r="N43" t="e">
        <f t="shared" si="13"/>
        <v>#VALUE!</v>
      </c>
      <c r="O43" t="e">
        <f t="shared" si="13"/>
        <v>#VALUE!</v>
      </c>
      <c r="P43" t="e">
        <f t="shared" si="13"/>
        <v>#VALUE!</v>
      </c>
      <c r="Q43" t="e">
        <f t="shared" si="13"/>
        <v>#VALUE!</v>
      </c>
      <c r="R43" t="e">
        <f t="shared" si="13"/>
        <v>#VALUE!</v>
      </c>
      <c r="S43" t="e">
        <f t="shared" si="13"/>
        <v>#VALUE!</v>
      </c>
      <c r="T43" t="e">
        <f t="shared" si="13"/>
        <v>#VALUE!</v>
      </c>
      <c r="U43" t="e">
        <f t="shared" si="13"/>
        <v>#VALUE!</v>
      </c>
      <c r="V43">
        <f t="shared" si="13"/>
        <v>7.2933333333333324E-4</v>
      </c>
      <c r="W43">
        <f t="shared" si="13"/>
        <v>5.0366666666666669E-4</v>
      </c>
      <c r="X43">
        <f t="shared" si="13"/>
        <v>5.2833333333333335E-4</v>
      </c>
      <c r="Y43">
        <f t="shared" si="13"/>
        <v>6.5400000000000007E-4</v>
      </c>
      <c r="Z43">
        <f t="shared" si="13"/>
        <v>2.5433333333333335E-4</v>
      </c>
      <c r="AA43" t="e">
        <f t="shared" si="13"/>
        <v>#VALUE!</v>
      </c>
      <c r="AB43">
        <f t="shared" si="13"/>
        <v>3.0800000000000001E-4</v>
      </c>
      <c r="AC43">
        <f t="shared" si="13"/>
        <v>2.8166666666666666E-4</v>
      </c>
      <c r="AD43" t="e">
        <f t="shared" si="13"/>
        <v>#VALUE!</v>
      </c>
      <c r="AE43" t="e">
        <f t="shared" si="13"/>
        <v>#VALUE!</v>
      </c>
      <c r="AF43" t="e">
        <f t="shared" si="13"/>
        <v>#VALUE!</v>
      </c>
      <c r="AG43" t="e">
        <f t="shared" si="13"/>
        <v>#VALUE!</v>
      </c>
      <c r="AH43" t="e">
        <f t="shared" si="13"/>
        <v>#VALUE!</v>
      </c>
      <c r="AI43" t="e">
        <f t="shared" si="13"/>
        <v>#VALUE!</v>
      </c>
      <c r="AJ43" t="e">
        <f t="shared" si="13"/>
        <v>#VALUE!</v>
      </c>
      <c r="AK43">
        <f t="shared" si="13"/>
        <v>1.6019333333333333E-2</v>
      </c>
      <c r="AL43" t="e">
        <f t="shared" si="13"/>
        <v>#VALUE!</v>
      </c>
      <c r="AM43" t="e">
        <f t="shared" si="13"/>
        <v>#VALUE!</v>
      </c>
      <c r="AN43" t="e">
        <f t="shared" si="13"/>
        <v>#VALUE!</v>
      </c>
      <c r="AO43" t="e">
        <f t="shared" si="13"/>
        <v>#VALUE!</v>
      </c>
      <c r="AP43" t="e">
        <f t="shared" si="13"/>
        <v>#VALUE!</v>
      </c>
      <c r="AQ43" t="e">
        <f t="shared" si="13"/>
        <v>#VALUE!</v>
      </c>
      <c r="AR43" t="e">
        <f t="shared" si="13"/>
        <v>#VALUE!</v>
      </c>
      <c r="AS43" t="e">
        <f t="shared" si="13"/>
        <v>#VALUE!</v>
      </c>
      <c r="AT43" t="e">
        <f t="shared" si="13"/>
        <v>#VALUE!</v>
      </c>
      <c r="AU43" t="e">
        <f t="shared" si="13"/>
        <v>#VALUE!</v>
      </c>
      <c r="AV43" t="e">
        <f t="shared" si="13"/>
        <v>#VALUE!</v>
      </c>
      <c r="AW43" t="e">
        <f t="shared" si="13"/>
        <v>#VALUE!</v>
      </c>
      <c r="AX43" t="e">
        <f t="shared" si="13"/>
        <v>#VALUE!</v>
      </c>
      <c r="AY43" t="e">
        <f t="shared" si="13"/>
        <v>#VALUE!</v>
      </c>
      <c r="AZ43" t="e">
        <f t="shared" si="13"/>
        <v>#VALUE!</v>
      </c>
      <c r="BA43" t="e">
        <f t="shared" si="13"/>
        <v>#VALUE!</v>
      </c>
      <c r="BB43" t="e">
        <f t="shared" si="13"/>
        <v>#VALUE!</v>
      </c>
      <c r="BC43" t="e">
        <f t="shared" si="13"/>
        <v>#VALUE!</v>
      </c>
      <c r="BD43" t="e">
        <f t="shared" si="13"/>
        <v>#VALUE!</v>
      </c>
      <c r="BE43" t="e">
        <f t="shared" si="13"/>
        <v>#VALUE!</v>
      </c>
      <c r="BF43" t="e">
        <f t="shared" si="13"/>
        <v>#VALUE!</v>
      </c>
      <c r="BG43" t="e">
        <f t="shared" si="13"/>
        <v>#VALUE!</v>
      </c>
      <c r="BH43" t="e">
        <f t="shared" si="13"/>
        <v>#VALUE!</v>
      </c>
      <c r="BI43" t="e">
        <f t="shared" si="13"/>
        <v>#VALUE!</v>
      </c>
      <c r="BJ43" t="e">
        <f t="shared" si="13"/>
        <v>#VALUE!</v>
      </c>
      <c r="BK43">
        <f t="shared" si="13"/>
        <v>0</v>
      </c>
      <c r="BL43" t="e">
        <f t="shared" si="13"/>
        <v>#VALUE!</v>
      </c>
      <c r="BM43" t="e">
        <f t="shared" si="13"/>
        <v>#VALUE!</v>
      </c>
      <c r="BN43" t="e">
        <f t="shared" ref="BN43:CC46" si="14">+BN25/3</f>
        <v>#VALUE!</v>
      </c>
      <c r="BO43">
        <f t="shared" si="14"/>
        <v>0</v>
      </c>
      <c r="BP43" t="e">
        <f t="shared" si="14"/>
        <v>#VALUE!</v>
      </c>
      <c r="BQ43" t="e">
        <f t="shared" si="14"/>
        <v>#VALUE!</v>
      </c>
      <c r="BR43" t="e">
        <f t="shared" si="14"/>
        <v>#VALUE!</v>
      </c>
      <c r="BS43" t="e">
        <f t="shared" si="14"/>
        <v>#VALUE!</v>
      </c>
      <c r="BT43" t="e">
        <f t="shared" si="14"/>
        <v>#VALUE!</v>
      </c>
      <c r="BU43">
        <f t="shared" si="14"/>
        <v>0</v>
      </c>
      <c r="BV43" t="e">
        <f t="shared" si="14"/>
        <v>#VALUE!</v>
      </c>
      <c r="BW43">
        <f t="shared" si="14"/>
        <v>0</v>
      </c>
      <c r="BX43" t="e">
        <f t="shared" si="14"/>
        <v>#VALUE!</v>
      </c>
      <c r="BY43" t="e">
        <f t="shared" si="14"/>
        <v>#VALUE!</v>
      </c>
      <c r="BZ43">
        <f t="shared" si="14"/>
        <v>2.6133333333333331E-4</v>
      </c>
      <c r="CA43">
        <f t="shared" si="14"/>
        <v>3.79E-4</v>
      </c>
      <c r="CB43" t="e">
        <f t="shared" si="14"/>
        <v>#VALUE!</v>
      </c>
      <c r="CC43">
        <f t="shared" si="14"/>
        <v>1.1333333333333334E-4</v>
      </c>
    </row>
    <row r="44" spans="1:81" ht="15.75" x14ac:dyDescent="0.25">
      <c r="A44" s="2" t="s">
        <v>89</v>
      </c>
      <c r="B44" t="e">
        <f t="shared" si="12"/>
        <v>#VALUE!</v>
      </c>
      <c r="C44">
        <f t="shared" ref="C44:BN47" si="15">+C26/3</f>
        <v>2.7663333333333338E-3</v>
      </c>
      <c r="D44" t="e">
        <f t="shared" si="15"/>
        <v>#VALUE!</v>
      </c>
      <c r="E44" t="e">
        <f t="shared" si="15"/>
        <v>#VALUE!</v>
      </c>
      <c r="F44" t="e">
        <f t="shared" si="15"/>
        <v>#VALUE!</v>
      </c>
      <c r="G44" t="e">
        <f t="shared" si="15"/>
        <v>#VALUE!</v>
      </c>
      <c r="H44" t="e">
        <f t="shared" si="15"/>
        <v>#VALUE!</v>
      </c>
      <c r="I44">
        <f t="shared" si="15"/>
        <v>4.9802000000000006E-2</v>
      </c>
      <c r="J44" t="e">
        <f t="shared" si="15"/>
        <v>#VALUE!</v>
      </c>
      <c r="K44" t="e">
        <f t="shared" si="15"/>
        <v>#VALUE!</v>
      </c>
      <c r="L44" t="e">
        <f t="shared" si="15"/>
        <v>#VALUE!</v>
      </c>
      <c r="M44">
        <f t="shared" si="15"/>
        <v>2.7648000000000002E-2</v>
      </c>
      <c r="N44" t="e">
        <f t="shared" si="15"/>
        <v>#VALUE!</v>
      </c>
      <c r="O44" t="e">
        <f t="shared" si="15"/>
        <v>#VALUE!</v>
      </c>
      <c r="P44" t="e">
        <f t="shared" si="15"/>
        <v>#VALUE!</v>
      </c>
      <c r="Q44">
        <f t="shared" si="15"/>
        <v>1.4793333333333334E-2</v>
      </c>
      <c r="R44" t="e">
        <f t="shared" si="15"/>
        <v>#VALUE!</v>
      </c>
      <c r="S44">
        <f t="shared" si="15"/>
        <v>4.7035E-2</v>
      </c>
      <c r="T44" t="e">
        <f t="shared" si="15"/>
        <v>#VALUE!</v>
      </c>
      <c r="U44" t="e">
        <f t="shared" si="15"/>
        <v>#VALUE!</v>
      </c>
      <c r="V44" t="e">
        <f t="shared" si="15"/>
        <v>#VALUE!</v>
      </c>
      <c r="W44">
        <f t="shared" si="15"/>
        <v>9.2293333333333342E-3</v>
      </c>
      <c r="X44" t="e">
        <f t="shared" si="15"/>
        <v>#VALUE!</v>
      </c>
      <c r="Y44" t="e">
        <f t="shared" si="15"/>
        <v>#VALUE!</v>
      </c>
      <c r="Z44" t="e">
        <f t="shared" si="15"/>
        <v>#VALUE!</v>
      </c>
      <c r="AA44">
        <f t="shared" si="15"/>
        <v>9.1013333333333328E-3</v>
      </c>
      <c r="AB44" t="e">
        <f t="shared" si="15"/>
        <v>#VALUE!</v>
      </c>
      <c r="AC44" t="e">
        <f t="shared" si="15"/>
        <v>#VALUE!</v>
      </c>
      <c r="AD44">
        <f t="shared" si="15"/>
        <v>0</v>
      </c>
      <c r="AE44">
        <f t="shared" si="15"/>
        <v>2.6470333333333332E-2</v>
      </c>
      <c r="AF44">
        <f t="shared" si="15"/>
        <v>0</v>
      </c>
      <c r="AG44">
        <f t="shared" si="15"/>
        <v>0</v>
      </c>
      <c r="AH44">
        <f t="shared" si="15"/>
        <v>8.076666666666666E-4</v>
      </c>
      <c r="AI44">
        <f t="shared" si="15"/>
        <v>1.2766666666666666E-3</v>
      </c>
      <c r="AJ44">
        <f t="shared" si="15"/>
        <v>7.0766666666666667E-4</v>
      </c>
      <c r="AK44" t="e">
        <f t="shared" si="15"/>
        <v>#VALUE!</v>
      </c>
      <c r="AL44" t="e">
        <f t="shared" si="15"/>
        <v>#VALUE!</v>
      </c>
      <c r="AM44" t="e">
        <f t="shared" si="15"/>
        <v>#VALUE!</v>
      </c>
      <c r="AN44" t="e">
        <f t="shared" si="15"/>
        <v>#VALUE!</v>
      </c>
      <c r="AO44">
        <f t="shared" si="15"/>
        <v>4.4566666666666669E-4</v>
      </c>
      <c r="AP44" t="e">
        <f t="shared" si="15"/>
        <v>#VALUE!</v>
      </c>
      <c r="AQ44">
        <f t="shared" si="15"/>
        <v>3.3489333333333336E-2</v>
      </c>
      <c r="AR44" t="e">
        <f t="shared" si="15"/>
        <v>#VALUE!</v>
      </c>
      <c r="AS44" t="e">
        <f t="shared" si="15"/>
        <v>#VALUE!</v>
      </c>
      <c r="AT44" t="e">
        <f t="shared" si="15"/>
        <v>#VALUE!</v>
      </c>
      <c r="AU44" t="e">
        <f t="shared" si="15"/>
        <v>#VALUE!</v>
      </c>
      <c r="AV44" t="e">
        <f t="shared" si="15"/>
        <v>#VALUE!</v>
      </c>
      <c r="AW44">
        <f t="shared" si="15"/>
        <v>2.6870333333333333E-2</v>
      </c>
      <c r="AX44" t="e">
        <f t="shared" si="15"/>
        <v>#VALUE!</v>
      </c>
      <c r="AY44">
        <f t="shared" si="15"/>
        <v>4.9836666666666668E-2</v>
      </c>
      <c r="AZ44" t="e">
        <f t="shared" si="15"/>
        <v>#VALUE!</v>
      </c>
      <c r="BA44" t="e">
        <f t="shared" si="15"/>
        <v>#VALUE!</v>
      </c>
      <c r="BB44" t="e">
        <f t="shared" si="15"/>
        <v>#VALUE!</v>
      </c>
      <c r="BC44" t="e">
        <f t="shared" si="15"/>
        <v>#VALUE!</v>
      </c>
      <c r="BD44" t="e">
        <f t="shared" si="15"/>
        <v>#VALUE!</v>
      </c>
      <c r="BE44">
        <f t="shared" si="15"/>
        <v>4.9883333333333333E-3</v>
      </c>
      <c r="BF44" t="e">
        <f t="shared" si="15"/>
        <v>#VALUE!</v>
      </c>
      <c r="BG44">
        <f t="shared" si="15"/>
        <v>1.7379333333333333E-2</v>
      </c>
      <c r="BH44" t="e">
        <f t="shared" si="15"/>
        <v>#VALUE!</v>
      </c>
      <c r="BI44" t="e">
        <f t="shared" si="15"/>
        <v>#VALUE!</v>
      </c>
      <c r="BJ44" t="e">
        <f t="shared" si="15"/>
        <v>#VALUE!</v>
      </c>
      <c r="BK44">
        <f t="shared" si="15"/>
        <v>3.1940000000000003E-2</v>
      </c>
      <c r="BL44" t="e">
        <f t="shared" si="15"/>
        <v>#VALUE!</v>
      </c>
      <c r="BM44" t="e">
        <f t="shared" si="15"/>
        <v>#VALUE!</v>
      </c>
      <c r="BN44" t="e">
        <f t="shared" si="15"/>
        <v>#VALUE!</v>
      </c>
      <c r="BO44">
        <f t="shared" si="14"/>
        <v>9.1283333333333338E-3</v>
      </c>
      <c r="BP44" t="e">
        <f t="shared" si="14"/>
        <v>#VALUE!</v>
      </c>
      <c r="BQ44" t="e">
        <f t="shared" si="14"/>
        <v>#VALUE!</v>
      </c>
      <c r="BR44" t="e">
        <f t="shared" si="14"/>
        <v>#VALUE!</v>
      </c>
      <c r="BS44" t="e">
        <f t="shared" si="14"/>
        <v>#VALUE!</v>
      </c>
      <c r="BT44" t="e">
        <f t="shared" si="14"/>
        <v>#VALUE!</v>
      </c>
      <c r="BU44">
        <f t="shared" si="14"/>
        <v>1.3907666666666667E-2</v>
      </c>
      <c r="BV44" t="e">
        <f t="shared" si="14"/>
        <v>#VALUE!</v>
      </c>
      <c r="BW44">
        <f t="shared" si="14"/>
        <v>2.1838E-2</v>
      </c>
      <c r="BX44" t="e">
        <f t="shared" si="14"/>
        <v>#VALUE!</v>
      </c>
      <c r="BY44" t="e">
        <f t="shared" si="14"/>
        <v>#VALUE!</v>
      </c>
      <c r="BZ44" t="e">
        <f t="shared" si="14"/>
        <v>#VALUE!</v>
      </c>
      <c r="CA44">
        <f t="shared" si="14"/>
        <v>1.3081666666666667E-2</v>
      </c>
      <c r="CB44" t="e">
        <f t="shared" si="14"/>
        <v>#VALUE!</v>
      </c>
      <c r="CC44" t="e">
        <f t="shared" si="14"/>
        <v>#VALUE!</v>
      </c>
    </row>
    <row r="45" spans="1:81" ht="15.75" x14ac:dyDescent="0.25">
      <c r="A45" s="2" t="s">
        <v>90</v>
      </c>
      <c r="B45">
        <f t="shared" si="12"/>
        <v>5.753333333333334E-4</v>
      </c>
      <c r="C45">
        <f t="shared" si="15"/>
        <v>6.6766666666666667E-4</v>
      </c>
      <c r="D45">
        <f t="shared" si="15"/>
        <v>1.0679999999999999E-3</v>
      </c>
      <c r="E45">
        <f t="shared" si="15"/>
        <v>7.8933333333333329E-4</v>
      </c>
      <c r="F45">
        <f t="shared" si="15"/>
        <v>2.4926666666666669E-3</v>
      </c>
      <c r="G45">
        <f t="shared" si="15"/>
        <v>2.5433333333333332E-3</v>
      </c>
      <c r="H45">
        <f t="shared" si="15"/>
        <v>1.828E-3</v>
      </c>
      <c r="I45">
        <f t="shared" si="15"/>
        <v>1.9743333333333336E-3</v>
      </c>
      <c r="J45">
        <f t="shared" si="15"/>
        <v>9.2800000000000001E-4</v>
      </c>
      <c r="K45">
        <f t="shared" si="15"/>
        <v>2.8E-3</v>
      </c>
      <c r="L45">
        <f t="shared" si="15"/>
        <v>2.8276666666666663E-3</v>
      </c>
      <c r="M45">
        <f t="shared" si="15"/>
        <v>1.4326666666666665E-3</v>
      </c>
      <c r="N45">
        <f t="shared" si="15"/>
        <v>1.3386666666666666E-3</v>
      </c>
      <c r="O45">
        <f t="shared" si="15"/>
        <v>1.3646666666666668E-3</v>
      </c>
      <c r="P45">
        <f t="shared" si="15"/>
        <v>2.6310000000000001E-3</v>
      </c>
      <c r="Q45">
        <f t="shared" si="15"/>
        <v>3.8536666666666667E-3</v>
      </c>
      <c r="R45">
        <f t="shared" si="15"/>
        <v>7.7099999999999998E-4</v>
      </c>
      <c r="S45">
        <f t="shared" si="15"/>
        <v>2.8316666666666668E-3</v>
      </c>
      <c r="T45">
        <f t="shared" si="15"/>
        <v>4.0933333333333333E-4</v>
      </c>
      <c r="U45">
        <f t="shared" si="15"/>
        <v>5.0133333333333334E-4</v>
      </c>
      <c r="V45">
        <f t="shared" si="15"/>
        <v>2.8066666666666664E-4</v>
      </c>
      <c r="W45">
        <f t="shared" si="15"/>
        <v>5.2400000000000005E-4</v>
      </c>
      <c r="X45">
        <f t="shared" si="15"/>
        <v>5.6633333333333329E-4</v>
      </c>
      <c r="Y45">
        <f t="shared" si="15"/>
        <v>2.7333333333333333E-4</v>
      </c>
      <c r="Z45">
        <f t="shared" si="15"/>
        <v>4.3866666666666663E-4</v>
      </c>
      <c r="AA45">
        <f t="shared" si="15"/>
        <v>1.8500000000000002E-4</v>
      </c>
      <c r="AB45">
        <f t="shared" si="15"/>
        <v>7.3933333333333327E-4</v>
      </c>
      <c r="AC45">
        <f t="shared" si="15"/>
        <v>1.7926666666666666E-3</v>
      </c>
      <c r="AD45">
        <f t="shared" si="15"/>
        <v>2.2346666666666665E-3</v>
      </c>
      <c r="AE45">
        <f t="shared" si="15"/>
        <v>3.5560000000000001E-3</v>
      </c>
      <c r="AF45">
        <f t="shared" si="15"/>
        <v>1.7656666666666665E-3</v>
      </c>
      <c r="AG45">
        <f t="shared" si="15"/>
        <v>1.9070000000000001E-3</v>
      </c>
      <c r="AH45">
        <f t="shared" si="15"/>
        <v>2.8593333333333335E-3</v>
      </c>
      <c r="AI45">
        <f t="shared" si="15"/>
        <v>1.4600000000000001E-3</v>
      </c>
      <c r="AJ45">
        <f t="shared" si="15"/>
        <v>2.5039999999999997E-3</v>
      </c>
      <c r="AK45">
        <f t="shared" si="15"/>
        <v>6.9166666666666671E-4</v>
      </c>
      <c r="AL45">
        <f t="shared" si="15"/>
        <v>2.0599999999999998E-3</v>
      </c>
      <c r="AM45">
        <f t="shared" si="15"/>
        <v>1.1686666666666666E-3</v>
      </c>
      <c r="AN45">
        <f t="shared" si="15"/>
        <v>3.3760000000000001E-3</v>
      </c>
      <c r="AO45">
        <f t="shared" si="15"/>
        <v>8.6833333333333337E-4</v>
      </c>
      <c r="AP45">
        <f t="shared" si="15"/>
        <v>1.439E-3</v>
      </c>
      <c r="AQ45">
        <f t="shared" si="15"/>
        <v>4.2353333333333331E-3</v>
      </c>
      <c r="AR45">
        <f t="shared" si="15"/>
        <v>3.0173333333333332E-3</v>
      </c>
      <c r="AS45">
        <f t="shared" si="15"/>
        <v>1.5946666666666668E-3</v>
      </c>
      <c r="AT45">
        <f t="shared" si="15"/>
        <v>2.5473333333333333E-3</v>
      </c>
      <c r="AU45">
        <f t="shared" si="15"/>
        <v>8.1366666666666664E-4</v>
      </c>
      <c r="AV45">
        <f t="shared" si="15"/>
        <v>7.7266666666666673E-4</v>
      </c>
      <c r="AW45">
        <f t="shared" si="15"/>
        <v>5.0533333333333333E-4</v>
      </c>
      <c r="AX45">
        <f t="shared" si="15"/>
        <v>2.1773333333333332E-3</v>
      </c>
      <c r="AY45">
        <f t="shared" si="15"/>
        <v>4.3433333333333328E-4</v>
      </c>
      <c r="AZ45">
        <f t="shared" si="15"/>
        <v>2.4086666666666666E-3</v>
      </c>
      <c r="BA45">
        <f t="shared" si="15"/>
        <v>2.9966666666666666E-3</v>
      </c>
      <c r="BB45">
        <f t="shared" si="15"/>
        <v>3.8703333333333333E-3</v>
      </c>
      <c r="BC45">
        <f t="shared" si="15"/>
        <v>1.3763333333333334E-3</v>
      </c>
      <c r="BD45">
        <f t="shared" si="15"/>
        <v>3.0866666666666664E-3</v>
      </c>
      <c r="BE45">
        <f t="shared" si="15"/>
        <v>2.5363333333333336E-3</v>
      </c>
      <c r="BF45">
        <f t="shared" si="15"/>
        <v>1.8816666666666667E-3</v>
      </c>
      <c r="BG45">
        <f t="shared" si="15"/>
        <v>2.5699999999999998E-3</v>
      </c>
      <c r="BH45">
        <f t="shared" si="15"/>
        <v>2.1193333333333333E-3</v>
      </c>
      <c r="BI45">
        <f t="shared" si="15"/>
        <v>2.2633333333333333E-3</v>
      </c>
      <c r="BJ45">
        <f t="shared" si="15"/>
        <v>3.127666666666667E-3</v>
      </c>
      <c r="BK45">
        <f t="shared" si="15"/>
        <v>2.1819999999999999E-3</v>
      </c>
      <c r="BL45">
        <f t="shared" si="15"/>
        <v>2.6036666666666669E-3</v>
      </c>
      <c r="BM45">
        <f t="shared" si="15"/>
        <v>1.5869999999999999E-3</v>
      </c>
      <c r="BN45">
        <f t="shared" si="15"/>
        <v>1.2229999999999999E-3</v>
      </c>
      <c r="BO45">
        <f t="shared" si="14"/>
        <v>6.9433333333333337E-4</v>
      </c>
      <c r="BP45">
        <f t="shared" si="14"/>
        <v>1.5876666666666667E-3</v>
      </c>
      <c r="BQ45">
        <f t="shared" si="14"/>
        <v>1.2066666666666667E-3</v>
      </c>
      <c r="BR45" t="e">
        <f t="shared" si="14"/>
        <v>#VALUE!</v>
      </c>
      <c r="BS45" t="e">
        <f t="shared" si="14"/>
        <v>#VALUE!</v>
      </c>
      <c r="BT45" t="e">
        <f t="shared" si="14"/>
        <v>#VALUE!</v>
      </c>
      <c r="BU45" t="e">
        <f t="shared" si="14"/>
        <v>#VALUE!</v>
      </c>
      <c r="BV45">
        <f t="shared" si="14"/>
        <v>1.2650000000000001E-3</v>
      </c>
      <c r="BW45">
        <f t="shared" si="14"/>
        <v>1.1766666666666668E-3</v>
      </c>
      <c r="BX45">
        <f t="shared" si="14"/>
        <v>1.3979999999999999E-3</v>
      </c>
      <c r="BY45">
        <f t="shared" si="14"/>
        <v>1.4673333333333333E-3</v>
      </c>
      <c r="BZ45">
        <f t="shared" si="14"/>
        <v>1.9943333333333332E-3</v>
      </c>
      <c r="CA45">
        <f t="shared" si="14"/>
        <v>1.1349999999999999E-3</v>
      </c>
      <c r="CB45">
        <f t="shared" si="14"/>
        <v>3.6729999999999996E-3</v>
      </c>
      <c r="CC45">
        <f t="shared" si="14"/>
        <v>3.0696666666666667E-3</v>
      </c>
    </row>
    <row r="46" spans="1:81" ht="15.75" x14ac:dyDescent="0.25">
      <c r="A46" s="2" t="s">
        <v>91</v>
      </c>
      <c r="B46">
        <f t="shared" si="12"/>
        <v>1.7796666666666666E-3</v>
      </c>
      <c r="C46">
        <f t="shared" si="15"/>
        <v>1.7756666666666667E-3</v>
      </c>
      <c r="D46">
        <f t="shared" si="15"/>
        <v>1.312E-3</v>
      </c>
      <c r="E46">
        <f t="shared" si="15"/>
        <v>1.245E-3</v>
      </c>
      <c r="F46">
        <f t="shared" si="15"/>
        <v>1.6531333333333332E-2</v>
      </c>
      <c r="G46">
        <f t="shared" si="15"/>
        <v>4.3356666666666665E-3</v>
      </c>
      <c r="H46">
        <f t="shared" si="15"/>
        <v>8.534333333333333E-3</v>
      </c>
      <c r="I46">
        <f t="shared" si="15"/>
        <v>2.8289666666666668E-2</v>
      </c>
      <c r="J46">
        <f t="shared" si="15"/>
        <v>1.8000000000000002E-3</v>
      </c>
      <c r="K46">
        <f t="shared" si="15"/>
        <v>3.2723333333333333E-3</v>
      </c>
      <c r="L46">
        <f t="shared" si="15"/>
        <v>2.8716666666666665E-3</v>
      </c>
      <c r="M46">
        <f t="shared" si="15"/>
        <v>1.9500000000000001E-3</v>
      </c>
      <c r="N46">
        <f t="shared" si="15"/>
        <v>8.1466666666666666E-4</v>
      </c>
      <c r="O46">
        <f t="shared" si="15"/>
        <v>9.6133333333333325E-4</v>
      </c>
      <c r="P46">
        <f t="shared" si="15"/>
        <v>9.77E-4</v>
      </c>
      <c r="Q46">
        <f t="shared" si="15"/>
        <v>6.1613333333333338E-3</v>
      </c>
      <c r="R46">
        <f t="shared" si="15"/>
        <v>2.5366666666666663E-4</v>
      </c>
      <c r="S46">
        <f t="shared" si="15"/>
        <v>1.4140000000000001E-3</v>
      </c>
      <c r="T46">
        <f t="shared" si="15"/>
        <v>3.2633333333333337E-4</v>
      </c>
      <c r="U46">
        <f t="shared" si="15"/>
        <v>4.3233333333333334E-4</v>
      </c>
      <c r="V46">
        <f t="shared" si="15"/>
        <v>7.4466666666666659E-4</v>
      </c>
      <c r="W46">
        <f t="shared" si="15"/>
        <v>8.969999999999999E-4</v>
      </c>
      <c r="X46">
        <f t="shared" si="15"/>
        <v>4.8633333333333335E-4</v>
      </c>
      <c r="Y46">
        <f t="shared" si="15"/>
        <v>5.9633333333333337E-4</v>
      </c>
      <c r="Z46" t="e">
        <f t="shared" si="15"/>
        <v>#VALUE!</v>
      </c>
      <c r="AA46">
        <f t="shared" si="15"/>
        <v>5.6666666666666671E-5</v>
      </c>
      <c r="AB46">
        <f t="shared" si="15"/>
        <v>2.6366666666666666E-4</v>
      </c>
      <c r="AC46">
        <f t="shared" si="15"/>
        <v>3.1766666666666667E-4</v>
      </c>
      <c r="AD46">
        <f t="shared" si="15"/>
        <v>7.7343333333333335E-3</v>
      </c>
      <c r="AE46">
        <f t="shared" si="15"/>
        <v>2.5026666666666665E-3</v>
      </c>
      <c r="AF46">
        <f t="shared" si="15"/>
        <v>2.8806666666666668E-3</v>
      </c>
      <c r="AG46">
        <f t="shared" si="15"/>
        <v>8.6576666666666659E-3</v>
      </c>
      <c r="AH46" t="e">
        <f t="shared" si="15"/>
        <v>#VALUE!</v>
      </c>
      <c r="AI46" t="e">
        <f t="shared" si="15"/>
        <v>#VALUE!</v>
      </c>
      <c r="AJ46" t="e">
        <f t="shared" si="15"/>
        <v>#VALUE!</v>
      </c>
      <c r="AK46">
        <f t="shared" si="15"/>
        <v>1.0840000000000001E-3</v>
      </c>
      <c r="AL46">
        <f t="shared" si="15"/>
        <v>7.3399999999999995E-4</v>
      </c>
      <c r="AM46">
        <f t="shared" si="15"/>
        <v>1.3626666666666665E-3</v>
      </c>
      <c r="AN46">
        <f t="shared" si="15"/>
        <v>3.6936666666666667E-3</v>
      </c>
      <c r="AO46">
        <f t="shared" si="15"/>
        <v>1.2023333333333332E-3</v>
      </c>
      <c r="AP46">
        <f t="shared" si="15"/>
        <v>8.5899999999999995E-4</v>
      </c>
      <c r="AQ46">
        <f t="shared" si="15"/>
        <v>8.8833333333333331E-4</v>
      </c>
      <c r="AR46">
        <f t="shared" si="15"/>
        <v>7.6033333333333335E-4</v>
      </c>
      <c r="AS46">
        <f t="shared" si="15"/>
        <v>8.5033333333333326E-4</v>
      </c>
      <c r="AT46">
        <f t="shared" si="15"/>
        <v>7.586666666666666E-4</v>
      </c>
      <c r="AU46">
        <f t="shared" si="15"/>
        <v>1.5146666666666668E-3</v>
      </c>
      <c r="AV46">
        <f t="shared" si="15"/>
        <v>1.4660000000000001E-3</v>
      </c>
      <c r="AW46">
        <f t="shared" si="15"/>
        <v>1.7113333333333332E-3</v>
      </c>
      <c r="AX46">
        <f t="shared" si="15"/>
        <v>9.8866666666666656E-4</v>
      </c>
      <c r="AY46">
        <f t="shared" si="15"/>
        <v>1.8320000000000001E-3</v>
      </c>
      <c r="AZ46">
        <f t="shared" si="15"/>
        <v>1.8086666666666668E-3</v>
      </c>
      <c r="BA46" t="e">
        <f t="shared" si="15"/>
        <v>#VALUE!</v>
      </c>
      <c r="BB46">
        <f t="shared" si="15"/>
        <v>6.6966666666666661E-4</v>
      </c>
      <c r="BC46">
        <f t="shared" si="15"/>
        <v>6.87E-4</v>
      </c>
      <c r="BD46">
        <f t="shared" si="15"/>
        <v>1.0246666666666666E-3</v>
      </c>
      <c r="BE46">
        <f t="shared" si="15"/>
        <v>2.4066666666666668E-3</v>
      </c>
      <c r="BF46" t="e">
        <f t="shared" si="15"/>
        <v>#VALUE!</v>
      </c>
      <c r="BG46">
        <f t="shared" si="15"/>
        <v>9.143333333333334E-4</v>
      </c>
      <c r="BH46">
        <f t="shared" si="15"/>
        <v>4.2266666666666668E-4</v>
      </c>
      <c r="BI46">
        <f t="shared" si="15"/>
        <v>7.3533333333333339E-4</v>
      </c>
      <c r="BJ46">
        <f t="shared" si="15"/>
        <v>1.1479999999999999E-3</v>
      </c>
      <c r="BK46">
        <f t="shared" si="15"/>
        <v>1.1460000000000001E-3</v>
      </c>
      <c r="BL46" t="e">
        <f t="shared" si="15"/>
        <v>#VALUE!</v>
      </c>
      <c r="BM46">
        <f t="shared" si="15"/>
        <v>1.253E-3</v>
      </c>
      <c r="BN46">
        <f t="shared" si="15"/>
        <v>1.5953333333333334E-3</v>
      </c>
      <c r="BO46">
        <f t="shared" si="14"/>
        <v>1.7280000000000002E-3</v>
      </c>
      <c r="BP46">
        <f t="shared" si="14"/>
        <v>8.4733333333333329E-4</v>
      </c>
      <c r="BQ46">
        <f t="shared" si="14"/>
        <v>8.1133333333333329E-4</v>
      </c>
      <c r="BR46">
        <f t="shared" si="14"/>
        <v>4.5666666666666668E-5</v>
      </c>
      <c r="BS46">
        <f t="shared" si="14"/>
        <v>9.3399999999999993E-4</v>
      </c>
      <c r="BT46">
        <f t="shared" si="14"/>
        <v>2.5333333333333333E-4</v>
      </c>
      <c r="BU46">
        <f t="shared" si="14"/>
        <v>9.3766666666666662E-4</v>
      </c>
      <c r="BV46">
        <f t="shared" si="14"/>
        <v>1.6309999999999999E-3</v>
      </c>
      <c r="BW46">
        <f t="shared" si="14"/>
        <v>2.4436666666666665E-3</v>
      </c>
      <c r="BX46">
        <f t="shared" si="14"/>
        <v>2.1536666666666666E-3</v>
      </c>
      <c r="BY46">
        <f t="shared" si="14"/>
        <v>1.2833333333333334E-3</v>
      </c>
      <c r="BZ46">
        <f t="shared" si="14"/>
        <v>4.8329999999999996E-3</v>
      </c>
      <c r="CA46">
        <f t="shared" si="14"/>
        <v>4.0340000000000003E-3</v>
      </c>
      <c r="CB46">
        <f t="shared" si="14"/>
        <v>2.6983333333333334E-3</v>
      </c>
      <c r="CC46">
        <f t="shared" si="14"/>
        <v>2.2196666666666667E-3</v>
      </c>
    </row>
    <row r="47" spans="1:81" ht="15.75" x14ac:dyDescent="0.25">
      <c r="A47" s="2" t="s">
        <v>92</v>
      </c>
      <c r="B47" t="e">
        <f t="shared" si="12"/>
        <v>#VALUE!</v>
      </c>
      <c r="C47">
        <f t="shared" si="15"/>
        <v>4.8746666666666669E-3</v>
      </c>
      <c r="D47" t="e">
        <f t="shared" si="15"/>
        <v>#VALUE!</v>
      </c>
      <c r="E47" t="e">
        <f t="shared" si="15"/>
        <v>#VALUE!</v>
      </c>
      <c r="F47" t="e">
        <f t="shared" si="15"/>
        <v>#VALUE!</v>
      </c>
      <c r="G47" t="e">
        <f t="shared" si="15"/>
        <v>#VALUE!</v>
      </c>
      <c r="H47" t="e">
        <f t="shared" si="15"/>
        <v>#VALUE!</v>
      </c>
      <c r="I47">
        <f t="shared" si="15"/>
        <v>1.2888666666666666E-2</v>
      </c>
      <c r="J47" t="e">
        <f t="shared" si="15"/>
        <v>#VALUE!</v>
      </c>
      <c r="K47" t="e">
        <f t="shared" si="15"/>
        <v>#VALUE!</v>
      </c>
      <c r="L47" t="e">
        <f t="shared" si="15"/>
        <v>#VALUE!</v>
      </c>
      <c r="M47">
        <f t="shared" si="15"/>
        <v>4.0693333333333337E-3</v>
      </c>
      <c r="N47" t="e">
        <f t="shared" si="15"/>
        <v>#VALUE!</v>
      </c>
      <c r="O47" t="e">
        <f t="shared" si="15"/>
        <v>#VALUE!</v>
      </c>
      <c r="P47" t="e">
        <f t="shared" si="15"/>
        <v>#VALUE!</v>
      </c>
      <c r="Q47">
        <f t="shared" si="15"/>
        <v>7.3726666666666663E-3</v>
      </c>
      <c r="R47" t="e">
        <f t="shared" si="15"/>
        <v>#VALUE!</v>
      </c>
      <c r="S47">
        <f t="shared" si="15"/>
        <v>5.0530000000000002E-3</v>
      </c>
      <c r="T47" t="e">
        <f t="shared" si="15"/>
        <v>#VALUE!</v>
      </c>
      <c r="U47" t="e">
        <f t="shared" si="15"/>
        <v>#VALUE!</v>
      </c>
      <c r="V47" t="e">
        <f t="shared" si="15"/>
        <v>#VALUE!</v>
      </c>
      <c r="W47">
        <f t="shared" si="15"/>
        <v>7.3356666666666666E-3</v>
      </c>
      <c r="X47" t="e">
        <f t="shared" si="15"/>
        <v>#VALUE!</v>
      </c>
      <c r="Y47" t="e">
        <f t="shared" si="15"/>
        <v>#VALUE!</v>
      </c>
      <c r="Z47" t="e">
        <f t="shared" si="15"/>
        <v>#VALUE!</v>
      </c>
      <c r="AA47">
        <f t="shared" si="15"/>
        <v>4.9940000000000002E-3</v>
      </c>
      <c r="AB47" t="e">
        <f t="shared" si="15"/>
        <v>#VALUE!</v>
      </c>
      <c r="AC47" t="e">
        <f t="shared" si="15"/>
        <v>#VALUE!</v>
      </c>
      <c r="AD47" t="e">
        <f t="shared" si="15"/>
        <v>#VALUE!</v>
      </c>
      <c r="AE47">
        <f t="shared" si="15"/>
        <v>1.6541E-2</v>
      </c>
      <c r="AF47" t="e">
        <f t="shared" si="15"/>
        <v>#VALUE!</v>
      </c>
      <c r="AG47" t="e">
        <f t="shared" si="15"/>
        <v>#VALUE!</v>
      </c>
      <c r="AH47" t="e">
        <f t="shared" si="15"/>
        <v>#VALUE!</v>
      </c>
      <c r="AI47" t="e">
        <f t="shared" si="15"/>
        <v>#VALUE!</v>
      </c>
      <c r="AJ47" t="e">
        <f t="shared" si="15"/>
        <v>#VALUE!</v>
      </c>
      <c r="AK47">
        <f t="shared" si="15"/>
        <v>8.5103333333333333E-3</v>
      </c>
      <c r="AL47" t="e">
        <f t="shared" si="15"/>
        <v>#VALUE!</v>
      </c>
      <c r="AM47" t="e">
        <f t="shared" si="15"/>
        <v>#VALUE!</v>
      </c>
      <c r="AN47" t="e">
        <f t="shared" si="15"/>
        <v>#VALUE!</v>
      </c>
      <c r="AO47">
        <f t="shared" si="15"/>
        <v>1.0568666666666665E-2</v>
      </c>
      <c r="AP47" t="e">
        <f t="shared" si="15"/>
        <v>#VALUE!</v>
      </c>
      <c r="AQ47">
        <f t="shared" si="15"/>
        <v>3.3713333333333334E-3</v>
      </c>
      <c r="AR47" t="e">
        <f t="shared" si="15"/>
        <v>#VALUE!</v>
      </c>
      <c r="AS47" t="e">
        <f t="shared" si="15"/>
        <v>#VALUE!</v>
      </c>
      <c r="AT47">
        <f t="shared" si="15"/>
        <v>0</v>
      </c>
      <c r="AU47">
        <f t="shared" si="15"/>
        <v>4.2230000000000002E-3</v>
      </c>
      <c r="AV47">
        <f t="shared" si="15"/>
        <v>0</v>
      </c>
      <c r="AW47">
        <f t="shared" si="15"/>
        <v>1.9985333333333334E-2</v>
      </c>
      <c r="AX47" t="e">
        <f t="shared" si="15"/>
        <v>#VALUE!</v>
      </c>
      <c r="AY47">
        <f t="shared" si="15"/>
        <v>8.9549999999999994E-3</v>
      </c>
      <c r="AZ47" t="e">
        <f t="shared" si="15"/>
        <v>#VALUE!</v>
      </c>
      <c r="BA47" t="e">
        <f t="shared" si="15"/>
        <v>#VALUE!</v>
      </c>
      <c r="BB47" t="e">
        <f t="shared" si="15"/>
        <v>#VALUE!</v>
      </c>
      <c r="BC47" t="e">
        <f t="shared" si="15"/>
        <v>#VALUE!</v>
      </c>
      <c r="BD47" t="e">
        <f t="shared" si="15"/>
        <v>#VALUE!</v>
      </c>
      <c r="BE47">
        <f t="shared" si="15"/>
        <v>2.9523333333333333E-3</v>
      </c>
      <c r="BF47" t="e">
        <f t="shared" si="15"/>
        <v>#VALUE!</v>
      </c>
      <c r="BG47">
        <f t="shared" si="15"/>
        <v>2.0793333333333332E-3</v>
      </c>
      <c r="BH47" t="e">
        <f t="shared" si="15"/>
        <v>#VALUE!</v>
      </c>
      <c r="BI47" t="e">
        <f t="shared" si="15"/>
        <v>#VALUE!</v>
      </c>
      <c r="BJ47" t="e">
        <f t="shared" si="15"/>
        <v>#VALUE!</v>
      </c>
      <c r="BK47">
        <f t="shared" si="15"/>
        <v>2.957666666666667E-3</v>
      </c>
      <c r="BL47" t="e">
        <f t="shared" si="15"/>
        <v>#VALUE!</v>
      </c>
      <c r="BM47" t="e">
        <f t="shared" si="15"/>
        <v>#VALUE!</v>
      </c>
      <c r="BN47" t="e">
        <f t="shared" ref="BN47:CC50" si="16">+BN29/3</f>
        <v>#VALUE!</v>
      </c>
      <c r="BO47">
        <f t="shared" si="16"/>
        <v>1.0309333333333334E-2</v>
      </c>
      <c r="BP47" t="e">
        <f t="shared" si="16"/>
        <v>#VALUE!</v>
      </c>
      <c r="BQ47" t="e">
        <f t="shared" si="16"/>
        <v>#VALUE!</v>
      </c>
      <c r="BR47" t="e">
        <f t="shared" si="16"/>
        <v>#VALUE!</v>
      </c>
      <c r="BS47" t="e">
        <f t="shared" si="16"/>
        <v>#VALUE!</v>
      </c>
      <c r="BT47" t="e">
        <f t="shared" si="16"/>
        <v>#VALUE!</v>
      </c>
      <c r="BU47">
        <f t="shared" si="16"/>
        <v>1.1243333333333333E-3</v>
      </c>
      <c r="BV47">
        <f t="shared" si="16"/>
        <v>0</v>
      </c>
      <c r="BW47">
        <f t="shared" si="16"/>
        <v>4.7266666666666663E-3</v>
      </c>
      <c r="BX47" t="e">
        <f t="shared" si="16"/>
        <v>#VALUE!</v>
      </c>
      <c r="BY47" t="e">
        <f t="shared" si="16"/>
        <v>#VALUE!</v>
      </c>
      <c r="BZ47" t="e">
        <f t="shared" si="16"/>
        <v>#VALUE!</v>
      </c>
      <c r="CA47">
        <f t="shared" si="16"/>
        <v>8.3176666666666659E-3</v>
      </c>
      <c r="CB47" t="e">
        <f t="shared" si="16"/>
        <v>#VALUE!</v>
      </c>
      <c r="CC47" t="e">
        <f t="shared" si="16"/>
        <v>#VALUE!</v>
      </c>
    </row>
    <row r="48" spans="1:81" ht="15.75" x14ac:dyDescent="0.25">
      <c r="A48" s="2" t="s">
        <v>93</v>
      </c>
      <c r="B48" t="e">
        <f t="shared" si="12"/>
        <v>#VALUE!</v>
      </c>
      <c r="C48">
        <f t="shared" ref="C48:BN51" si="17">+C30/3</f>
        <v>7.5719999999999997E-3</v>
      </c>
      <c r="D48" t="e">
        <f t="shared" si="17"/>
        <v>#VALUE!</v>
      </c>
      <c r="E48" t="e">
        <f t="shared" si="17"/>
        <v>#VALUE!</v>
      </c>
      <c r="F48" t="e">
        <f t="shared" si="17"/>
        <v>#VALUE!</v>
      </c>
      <c r="G48" t="e">
        <f t="shared" si="17"/>
        <v>#VALUE!</v>
      </c>
      <c r="H48" t="e">
        <f t="shared" si="17"/>
        <v>#VALUE!</v>
      </c>
      <c r="I48">
        <f t="shared" si="17"/>
        <v>2.0973333333333334E-3</v>
      </c>
      <c r="J48" t="e">
        <f t="shared" si="17"/>
        <v>#VALUE!</v>
      </c>
      <c r="K48" t="e">
        <f t="shared" si="17"/>
        <v>#VALUE!</v>
      </c>
      <c r="L48" t="e">
        <f t="shared" si="17"/>
        <v>#VALUE!</v>
      </c>
      <c r="M48">
        <f t="shared" si="17"/>
        <v>2.4143333333333334E-3</v>
      </c>
      <c r="N48" t="e">
        <f t="shared" si="17"/>
        <v>#VALUE!</v>
      </c>
      <c r="O48" t="e">
        <f t="shared" si="17"/>
        <v>#VALUE!</v>
      </c>
      <c r="P48" t="e">
        <f t="shared" si="17"/>
        <v>#VALUE!</v>
      </c>
      <c r="Q48">
        <f t="shared" si="17"/>
        <v>8.5533333333333338E-4</v>
      </c>
      <c r="R48" t="e">
        <f t="shared" si="17"/>
        <v>#VALUE!</v>
      </c>
      <c r="S48">
        <f t="shared" si="17"/>
        <v>3.0573333333333333E-3</v>
      </c>
      <c r="T48" t="e">
        <f t="shared" si="17"/>
        <v>#VALUE!</v>
      </c>
      <c r="U48" t="e">
        <f t="shared" si="17"/>
        <v>#VALUE!</v>
      </c>
      <c r="V48" t="e">
        <f t="shared" si="17"/>
        <v>#VALUE!</v>
      </c>
      <c r="W48">
        <f t="shared" si="17"/>
        <v>4.3800000000000002E-4</v>
      </c>
      <c r="X48" t="e">
        <f t="shared" si="17"/>
        <v>#VALUE!</v>
      </c>
      <c r="Y48" t="e">
        <f t="shared" si="17"/>
        <v>#VALUE!</v>
      </c>
      <c r="Z48" t="e">
        <f t="shared" si="17"/>
        <v>#VALUE!</v>
      </c>
      <c r="AA48">
        <f t="shared" si="17"/>
        <v>3.6833333333333336E-4</v>
      </c>
      <c r="AB48" t="e">
        <f t="shared" si="17"/>
        <v>#VALUE!</v>
      </c>
      <c r="AC48" t="e">
        <f t="shared" si="17"/>
        <v>#VALUE!</v>
      </c>
      <c r="AD48" t="e">
        <f t="shared" si="17"/>
        <v>#VALUE!</v>
      </c>
      <c r="AE48">
        <f t="shared" si="17"/>
        <v>1.8679999999999999E-3</v>
      </c>
      <c r="AF48" t="e">
        <f t="shared" si="17"/>
        <v>#VALUE!</v>
      </c>
      <c r="AG48" t="e">
        <f t="shared" si="17"/>
        <v>#VALUE!</v>
      </c>
      <c r="AH48" t="e">
        <f t="shared" si="17"/>
        <v>#VALUE!</v>
      </c>
      <c r="AI48" t="e">
        <f t="shared" si="17"/>
        <v>#VALUE!</v>
      </c>
      <c r="AJ48" t="e">
        <f t="shared" si="17"/>
        <v>#VALUE!</v>
      </c>
      <c r="AK48">
        <f t="shared" si="17"/>
        <v>9.230000000000001E-4</v>
      </c>
      <c r="AL48" t="e">
        <f t="shared" si="17"/>
        <v>#VALUE!</v>
      </c>
      <c r="AM48" t="e">
        <f t="shared" si="17"/>
        <v>#VALUE!</v>
      </c>
      <c r="AN48" t="e">
        <f t="shared" si="17"/>
        <v>#VALUE!</v>
      </c>
      <c r="AO48" t="e">
        <f t="shared" si="17"/>
        <v>#VALUE!</v>
      </c>
      <c r="AP48" t="e">
        <f t="shared" si="17"/>
        <v>#VALUE!</v>
      </c>
      <c r="AQ48">
        <f t="shared" si="17"/>
        <v>7.3033333333333327E-4</v>
      </c>
      <c r="AR48" t="e">
        <f t="shared" si="17"/>
        <v>#VALUE!</v>
      </c>
      <c r="AS48" t="e">
        <f t="shared" si="17"/>
        <v>#VALUE!</v>
      </c>
      <c r="AT48" t="e">
        <f t="shared" si="17"/>
        <v>#VALUE!</v>
      </c>
      <c r="AU48" t="e">
        <f t="shared" si="17"/>
        <v>#VALUE!</v>
      </c>
      <c r="AV48" t="e">
        <f t="shared" si="17"/>
        <v>#VALUE!</v>
      </c>
      <c r="AW48">
        <f t="shared" si="17"/>
        <v>2.4366666666666664E-3</v>
      </c>
      <c r="AX48" t="e">
        <f t="shared" si="17"/>
        <v>#VALUE!</v>
      </c>
      <c r="AY48">
        <f t="shared" si="17"/>
        <v>4.0609999999999995E-3</v>
      </c>
      <c r="AZ48" t="e">
        <f t="shared" si="17"/>
        <v>#VALUE!</v>
      </c>
      <c r="BA48" t="e">
        <f t="shared" si="17"/>
        <v>#VALUE!</v>
      </c>
      <c r="BB48" t="e">
        <f t="shared" si="17"/>
        <v>#VALUE!</v>
      </c>
      <c r="BC48" t="e">
        <f t="shared" si="17"/>
        <v>#VALUE!</v>
      </c>
      <c r="BD48" t="e">
        <f t="shared" si="17"/>
        <v>#VALUE!</v>
      </c>
      <c r="BE48">
        <f t="shared" si="17"/>
        <v>6.1266666666666663E-4</v>
      </c>
      <c r="BF48" t="e">
        <f t="shared" si="17"/>
        <v>#VALUE!</v>
      </c>
      <c r="BG48">
        <f t="shared" si="17"/>
        <v>9.7766666666666661E-4</v>
      </c>
      <c r="BH48" t="e">
        <f t="shared" si="17"/>
        <v>#VALUE!</v>
      </c>
      <c r="BI48" t="e">
        <f t="shared" si="17"/>
        <v>#VALUE!</v>
      </c>
      <c r="BJ48" t="e">
        <f t="shared" si="17"/>
        <v>#VALUE!</v>
      </c>
      <c r="BK48">
        <f t="shared" si="17"/>
        <v>3.2399999999999998E-3</v>
      </c>
      <c r="BL48" t="e">
        <f t="shared" si="17"/>
        <v>#VALUE!</v>
      </c>
      <c r="BM48" t="e">
        <f t="shared" si="17"/>
        <v>#VALUE!</v>
      </c>
      <c r="BN48" t="e">
        <f t="shared" si="17"/>
        <v>#VALUE!</v>
      </c>
      <c r="BO48">
        <f t="shared" si="16"/>
        <v>5.706666666666667E-4</v>
      </c>
      <c r="BP48" t="e">
        <f t="shared" si="16"/>
        <v>#VALUE!</v>
      </c>
      <c r="BQ48" t="e">
        <f t="shared" si="16"/>
        <v>#VALUE!</v>
      </c>
      <c r="BR48" t="e">
        <f t="shared" si="16"/>
        <v>#VALUE!</v>
      </c>
      <c r="BS48" t="e">
        <f t="shared" si="16"/>
        <v>#VALUE!</v>
      </c>
      <c r="BT48" t="e">
        <f t="shared" si="16"/>
        <v>#VALUE!</v>
      </c>
      <c r="BU48">
        <f t="shared" si="16"/>
        <v>1.3663333333333333E-3</v>
      </c>
      <c r="BV48">
        <f t="shared" si="16"/>
        <v>0</v>
      </c>
      <c r="BW48">
        <f t="shared" si="16"/>
        <v>8.2366666666666667E-4</v>
      </c>
      <c r="BX48" t="e">
        <f t="shared" si="16"/>
        <v>#VALUE!</v>
      </c>
      <c r="BY48" t="e">
        <f t="shared" si="16"/>
        <v>#VALUE!</v>
      </c>
      <c r="BZ48" t="e">
        <f t="shared" si="16"/>
        <v>#VALUE!</v>
      </c>
      <c r="CA48">
        <f t="shared" si="16"/>
        <v>4.0033333333333332E-4</v>
      </c>
      <c r="CB48" t="e">
        <f t="shared" si="16"/>
        <v>#VALUE!</v>
      </c>
      <c r="CC48" t="e">
        <f t="shared" si="16"/>
        <v>#VALUE!</v>
      </c>
    </row>
    <row r="49" spans="1:81" ht="15.75" x14ac:dyDescent="0.25">
      <c r="A49" s="2" t="s">
        <v>94</v>
      </c>
      <c r="B49" t="e">
        <f t="shared" si="12"/>
        <v>#VALUE!</v>
      </c>
      <c r="C49">
        <f t="shared" si="17"/>
        <v>1.0593333333333334E-3</v>
      </c>
      <c r="D49" t="e">
        <f t="shared" si="17"/>
        <v>#VALUE!</v>
      </c>
      <c r="E49" t="e">
        <f t="shared" si="17"/>
        <v>#VALUE!</v>
      </c>
      <c r="F49" t="e">
        <f t="shared" si="17"/>
        <v>#VALUE!</v>
      </c>
      <c r="G49" t="e">
        <f t="shared" si="17"/>
        <v>#VALUE!</v>
      </c>
      <c r="H49" t="e">
        <f t="shared" si="17"/>
        <v>#VALUE!</v>
      </c>
      <c r="I49">
        <f t="shared" si="17"/>
        <v>1.1844E-2</v>
      </c>
      <c r="J49" t="e">
        <f t="shared" si="17"/>
        <v>#VALUE!</v>
      </c>
      <c r="K49" t="e">
        <f t="shared" si="17"/>
        <v>#VALUE!</v>
      </c>
      <c r="L49" t="e">
        <f t="shared" si="17"/>
        <v>#VALUE!</v>
      </c>
      <c r="M49">
        <f t="shared" si="17"/>
        <v>7.7906666666666671E-3</v>
      </c>
      <c r="N49" t="e">
        <f t="shared" si="17"/>
        <v>#VALUE!</v>
      </c>
      <c r="O49" t="e">
        <f t="shared" si="17"/>
        <v>#VALUE!</v>
      </c>
      <c r="P49" t="e">
        <f t="shared" si="17"/>
        <v>#VALUE!</v>
      </c>
      <c r="Q49">
        <f t="shared" si="17"/>
        <v>4.4986666666666664E-3</v>
      </c>
      <c r="R49" t="e">
        <f t="shared" si="17"/>
        <v>#VALUE!</v>
      </c>
      <c r="S49">
        <f t="shared" si="17"/>
        <v>1.7416000000000001E-2</v>
      </c>
      <c r="T49" t="e">
        <f t="shared" si="17"/>
        <v>#VALUE!</v>
      </c>
      <c r="U49" t="e">
        <f t="shared" si="17"/>
        <v>#VALUE!</v>
      </c>
      <c r="V49" t="e">
        <f t="shared" si="17"/>
        <v>#VALUE!</v>
      </c>
      <c r="W49">
        <f t="shared" si="17"/>
        <v>1.9786666666666668E-3</v>
      </c>
      <c r="X49" t="e">
        <f t="shared" si="17"/>
        <v>#VALUE!</v>
      </c>
      <c r="Y49" t="e">
        <f t="shared" si="17"/>
        <v>#VALUE!</v>
      </c>
      <c r="Z49" t="e">
        <f t="shared" si="17"/>
        <v>#VALUE!</v>
      </c>
      <c r="AA49">
        <f t="shared" si="17"/>
        <v>2.5373333333333333E-3</v>
      </c>
      <c r="AB49" t="e">
        <f t="shared" si="17"/>
        <v>#VALUE!</v>
      </c>
      <c r="AC49" t="e">
        <f t="shared" si="17"/>
        <v>#VALUE!</v>
      </c>
      <c r="AD49" t="e">
        <f t="shared" si="17"/>
        <v>#VALUE!</v>
      </c>
      <c r="AE49">
        <f t="shared" si="17"/>
        <v>8.1930000000000006E-3</v>
      </c>
      <c r="AF49" t="e">
        <f t="shared" si="17"/>
        <v>#VALUE!</v>
      </c>
      <c r="AG49" t="e">
        <f t="shared" si="17"/>
        <v>#VALUE!</v>
      </c>
      <c r="AH49" t="e">
        <f t="shared" si="17"/>
        <v>#VALUE!</v>
      </c>
      <c r="AI49" t="e">
        <f t="shared" si="17"/>
        <v>#VALUE!</v>
      </c>
      <c r="AJ49" t="e">
        <f t="shared" si="17"/>
        <v>#VALUE!</v>
      </c>
      <c r="AK49">
        <f t="shared" si="17"/>
        <v>3.6846666666666664E-3</v>
      </c>
      <c r="AL49" t="e">
        <f t="shared" si="17"/>
        <v>#VALUE!</v>
      </c>
      <c r="AM49" t="e">
        <f t="shared" si="17"/>
        <v>#VALUE!</v>
      </c>
      <c r="AN49" t="e">
        <f t="shared" si="17"/>
        <v>#VALUE!</v>
      </c>
      <c r="AO49" t="e">
        <f t="shared" si="17"/>
        <v>#VALUE!</v>
      </c>
      <c r="AP49" t="e">
        <f t="shared" si="17"/>
        <v>#VALUE!</v>
      </c>
      <c r="AQ49">
        <f t="shared" si="17"/>
        <v>8.6313333333333329E-3</v>
      </c>
      <c r="AR49" t="e">
        <f t="shared" si="17"/>
        <v>#VALUE!</v>
      </c>
      <c r="AS49" t="e">
        <f t="shared" si="17"/>
        <v>#VALUE!</v>
      </c>
      <c r="AT49" t="e">
        <f t="shared" si="17"/>
        <v>#VALUE!</v>
      </c>
      <c r="AU49" t="e">
        <f t="shared" si="17"/>
        <v>#VALUE!</v>
      </c>
      <c r="AV49" t="e">
        <f t="shared" si="17"/>
        <v>#VALUE!</v>
      </c>
      <c r="AW49">
        <f t="shared" si="17"/>
        <v>1.1423666666666667E-2</v>
      </c>
      <c r="AX49" t="e">
        <f t="shared" si="17"/>
        <v>#VALUE!</v>
      </c>
      <c r="AY49">
        <f t="shared" si="17"/>
        <v>2.2694666666666669E-2</v>
      </c>
      <c r="AZ49" t="e">
        <f t="shared" si="17"/>
        <v>#VALUE!</v>
      </c>
      <c r="BA49" t="e">
        <f t="shared" si="17"/>
        <v>#VALUE!</v>
      </c>
      <c r="BB49" t="e">
        <f t="shared" si="17"/>
        <v>#VALUE!</v>
      </c>
      <c r="BC49" t="e">
        <f t="shared" si="17"/>
        <v>#VALUE!</v>
      </c>
      <c r="BD49" t="e">
        <f t="shared" si="17"/>
        <v>#VALUE!</v>
      </c>
      <c r="BE49">
        <f t="shared" si="17"/>
        <v>1.2563333333333335E-3</v>
      </c>
      <c r="BF49" t="e">
        <f t="shared" si="17"/>
        <v>#VALUE!</v>
      </c>
      <c r="BG49">
        <f t="shared" si="17"/>
        <v>5.9813333333333342E-3</v>
      </c>
      <c r="BH49" t="e">
        <f t="shared" si="17"/>
        <v>#VALUE!</v>
      </c>
      <c r="BI49" t="e">
        <f t="shared" si="17"/>
        <v>#VALUE!</v>
      </c>
      <c r="BJ49" t="e">
        <f t="shared" si="17"/>
        <v>#VALUE!</v>
      </c>
      <c r="BK49">
        <f t="shared" si="17"/>
        <v>7.3106666666666667E-3</v>
      </c>
      <c r="BL49" t="e">
        <f t="shared" si="17"/>
        <v>#VALUE!</v>
      </c>
      <c r="BM49" t="e">
        <f t="shared" si="17"/>
        <v>#VALUE!</v>
      </c>
      <c r="BN49" t="e">
        <f t="shared" si="17"/>
        <v>#VALUE!</v>
      </c>
      <c r="BO49">
        <f t="shared" si="16"/>
        <v>2.5530000000000001E-3</v>
      </c>
      <c r="BP49" t="e">
        <f t="shared" si="16"/>
        <v>#VALUE!</v>
      </c>
      <c r="BQ49" t="e">
        <f t="shared" si="16"/>
        <v>#VALUE!</v>
      </c>
      <c r="BR49" t="e">
        <f t="shared" si="16"/>
        <v>#VALUE!</v>
      </c>
      <c r="BS49" t="e">
        <f t="shared" si="16"/>
        <v>#VALUE!</v>
      </c>
      <c r="BT49" t="e">
        <f t="shared" si="16"/>
        <v>#VALUE!</v>
      </c>
      <c r="BU49">
        <f t="shared" si="16"/>
        <v>5.1413333333333337E-3</v>
      </c>
      <c r="BV49">
        <f t="shared" si="16"/>
        <v>0</v>
      </c>
      <c r="BW49">
        <f t="shared" si="16"/>
        <v>6.4153333333333328E-3</v>
      </c>
      <c r="BX49" t="e">
        <f t="shared" si="16"/>
        <v>#VALUE!</v>
      </c>
      <c r="BY49" t="e">
        <f t="shared" si="16"/>
        <v>#VALUE!</v>
      </c>
      <c r="BZ49" t="e">
        <f t="shared" si="16"/>
        <v>#VALUE!</v>
      </c>
      <c r="CA49">
        <f t="shared" si="16"/>
        <v>2.6536666666666666E-3</v>
      </c>
      <c r="CB49" t="e">
        <f t="shared" si="16"/>
        <v>#VALUE!</v>
      </c>
      <c r="CC49" t="e">
        <f t="shared" si="16"/>
        <v>#VALUE!</v>
      </c>
    </row>
    <row r="50" spans="1:81" ht="15.75" x14ac:dyDescent="0.25">
      <c r="A50" s="2" t="s">
        <v>95</v>
      </c>
      <c r="B50" t="e">
        <f t="shared" si="12"/>
        <v>#VALUE!</v>
      </c>
      <c r="C50">
        <f t="shared" si="17"/>
        <v>0</v>
      </c>
      <c r="D50" t="e">
        <f t="shared" si="17"/>
        <v>#VALUE!</v>
      </c>
      <c r="E50" t="e">
        <f t="shared" si="17"/>
        <v>#VALUE!</v>
      </c>
      <c r="F50" t="e">
        <f t="shared" si="17"/>
        <v>#VALUE!</v>
      </c>
      <c r="G50" t="e">
        <f t="shared" si="17"/>
        <v>#VALUE!</v>
      </c>
      <c r="H50" t="e">
        <f t="shared" si="17"/>
        <v>#VALUE!</v>
      </c>
      <c r="I50">
        <f t="shared" si="17"/>
        <v>1.127E-3</v>
      </c>
      <c r="J50" t="e">
        <f t="shared" si="17"/>
        <v>#VALUE!</v>
      </c>
      <c r="K50" t="e">
        <f t="shared" si="17"/>
        <v>#VALUE!</v>
      </c>
      <c r="L50" t="e">
        <f t="shared" si="17"/>
        <v>#VALUE!</v>
      </c>
      <c r="M50">
        <f t="shared" si="17"/>
        <v>8.7466666666666671E-4</v>
      </c>
      <c r="N50" t="e">
        <f t="shared" si="17"/>
        <v>#VALUE!</v>
      </c>
      <c r="O50" t="e">
        <f t="shared" si="17"/>
        <v>#VALUE!</v>
      </c>
      <c r="P50" t="e">
        <f t="shared" si="17"/>
        <v>#VALUE!</v>
      </c>
      <c r="Q50">
        <f t="shared" si="17"/>
        <v>3.0533333333333335E-4</v>
      </c>
      <c r="R50" t="e">
        <f t="shared" si="17"/>
        <v>#VALUE!</v>
      </c>
      <c r="S50">
        <f t="shared" si="17"/>
        <v>1.3547333333333333E-2</v>
      </c>
      <c r="T50" t="e">
        <f t="shared" si="17"/>
        <v>#VALUE!</v>
      </c>
      <c r="U50" t="e">
        <f t="shared" si="17"/>
        <v>#VALUE!</v>
      </c>
      <c r="V50" t="e">
        <f t="shared" si="17"/>
        <v>#VALUE!</v>
      </c>
      <c r="W50">
        <f t="shared" si="17"/>
        <v>2.2566666666666666E-4</v>
      </c>
      <c r="X50" t="e">
        <f t="shared" si="17"/>
        <v>#VALUE!</v>
      </c>
      <c r="Y50" t="e">
        <f t="shared" si="17"/>
        <v>#VALUE!</v>
      </c>
      <c r="Z50" t="e">
        <f t="shared" si="17"/>
        <v>#VALUE!</v>
      </c>
      <c r="AA50">
        <f t="shared" si="17"/>
        <v>3.5833333333333333E-4</v>
      </c>
      <c r="AB50" t="e">
        <f t="shared" si="17"/>
        <v>#VALUE!</v>
      </c>
      <c r="AC50" t="e">
        <f t="shared" si="17"/>
        <v>#VALUE!</v>
      </c>
      <c r="AD50">
        <f t="shared" si="17"/>
        <v>2.9599999999999998E-4</v>
      </c>
      <c r="AE50">
        <f t="shared" si="17"/>
        <v>2.7889999999999998E-3</v>
      </c>
      <c r="AF50">
        <f t="shared" si="17"/>
        <v>3.2866666666666661E-4</v>
      </c>
      <c r="AG50">
        <f t="shared" si="17"/>
        <v>2.5333333333333333E-4</v>
      </c>
      <c r="AH50" t="e">
        <f t="shared" si="17"/>
        <v>#VALUE!</v>
      </c>
      <c r="AI50" t="e">
        <f t="shared" si="17"/>
        <v>#VALUE!</v>
      </c>
      <c r="AJ50" t="e">
        <f t="shared" si="17"/>
        <v>#VALUE!</v>
      </c>
      <c r="AK50">
        <f t="shared" si="17"/>
        <v>4.1166666666666668E-4</v>
      </c>
      <c r="AL50" t="e">
        <f t="shared" si="17"/>
        <v>#VALUE!</v>
      </c>
      <c r="AM50" t="e">
        <f t="shared" si="17"/>
        <v>#VALUE!</v>
      </c>
      <c r="AN50" t="e">
        <f t="shared" si="17"/>
        <v>#VALUE!</v>
      </c>
      <c r="AO50" t="e">
        <f t="shared" si="17"/>
        <v>#VALUE!</v>
      </c>
      <c r="AP50" t="e">
        <f t="shared" si="17"/>
        <v>#VALUE!</v>
      </c>
      <c r="AQ50">
        <f t="shared" si="17"/>
        <v>1.2353333333333333E-3</v>
      </c>
      <c r="AR50" t="e">
        <f t="shared" si="17"/>
        <v>#VALUE!</v>
      </c>
      <c r="AS50" t="e">
        <f t="shared" si="17"/>
        <v>#VALUE!</v>
      </c>
      <c r="AT50" t="e">
        <f t="shared" si="17"/>
        <v>#VALUE!</v>
      </c>
      <c r="AU50" t="e">
        <f t="shared" si="17"/>
        <v>#VALUE!</v>
      </c>
      <c r="AV50" t="e">
        <f t="shared" si="17"/>
        <v>#VALUE!</v>
      </c>
      <c r="AW50">
        <f t="shared" si="17"/>
        <v>2.1946666666666664E-3</v>
      </c>
      <c r="AX50" t="e">
        <f t="shared" si="17"/>
        <v>#VALUE!</v>
      </c>
      <c r="AY50">
        <f t="shared" si="17"/>
        <v>2.3176666666666667E-3</v>
      </c>
      <c r="AZ50" t="e">
        <f t="shared" si="17"/>
        <v>#VALUE!</v>
      </c>
      <c r="BA50" t="e">
        <f t="shared" si="17"/>
        <v>#VALUE!</v>
      </c>
      <c r="BB50" t="e">
        <f t="shared" si="17"/>
        <v>#VALUE!</v>
      </c>
      <c r="BC50" t="e">
        <f t="shared" si="17"/>
        <v>#VALUE!</v>
      </c>
      <c r="BD50" t="e">
        <f t="shared" si="17"/>
        <v>#VALUE!</v>
      </c>
      <c r="BE50">
        <f t="shared" si="17"/>
        <v>1.7466666666666669E-4</v>
      </c>
      <c r="BF50" t="e">
        <f t="shared" si="17"/>
        <v>#VALUE!</v>
      </c>
      <c r="BG50">
        <f t="shared" si="17"/>
        <v>1.0766666666666665E-3</v>
      </c>
      <c r="BH50" t="e">
        <f t="shared" si="17"/>
        <v>#VALUE!</v>
      </c>
      <c r="BI50" t="e">
        <f t="shared" si="17"/>
        <v>#VALUE!</v>
      </c>
      <c r="BJ50" t="e">
        <f t="shared" si="17"/>
        <v>#VALUE!</v>
      </c>
      <c r="BK50">
        <f t="shared" si="17"/>
        <v>9.6866666666666672E-4</v>
      </c>
      <c r="BL50" t="e">
        <f t="shared" si="17"/>
        <v>#VALUE!</v>
      </c>
      <c r="BM50" t="e">
        <f t="shared" si="17"/>
        <v>#VALUE!</v>
      </c>
      <c r="BN50" t="e">
        <f t="shared" si="17"/>
        <v>#VALUE!</v>
      </c>
      <c r="BO50">
        <f t="shared" si="16"/>
        <v>2.2800000000000001E-4</v>
      </c>
      <c r="BP50" t="e">
        <f t="shared" si="16"/>
        <v>#VALUE!</v>
      </c>
      <c r="BQ50" t="e">
        <f t="shared" si="16"/>
        <v>#VALUE!</v>
      </c>
      <c r="BR50" t="e">
        <f t="shared" si="16"/>
        <v>#VALUE!</v>
      </c>
      <c r="BS50" t="e">
        <f t="shared" si="16"/>
        <v>#VALUE!</v>
      </c>
      <c r="BT50" t="e">
        <f t="shared" si="16"/>
        <v>#VALUE!</v>
      </c>
      <c r="BU50">
        <f t="shared" si="16"/>
        <v>5.8799999999999998E-4</v>
      </c>
      <c r="BV50">
        <f t="shared" si="16"/>
        <v>0</v>
      </c>
      <c r="BW50">
        <f t="shared" si="16"/>
        <v>6.9166666666666671E-4</v>
      </c>
      <c r="BX50" t="e">
        <f t="shared" si="16"/>
        <v>#VALUE!</v>
      </c>
      <c r="BY50" t="e">
        <f t="shared" si="16"/>
        <v>#VALUE!</v>
      </c>
      <c r="BZ50" t="e">
        <f t="shared" si="16"/>
        <v>#VALUE!</v>
      </c>
      <c r="CA50">
        <f t="shared" si="16"/>
        <v>4.0499999999999998E-4</v>
      </c>
      <c r="CB50" t="e">
        <f t="shared" si="16"/>
        <v>#VALUE!</v>
      </c>
      <c r="CC50" t="e">
        <f t="shared" si="16"/>
        <v>#VALUE!</v>
      </c>
    </row>
    <row r="51" spans="1:81" ht="15.75" x14ac:dyDescent="0.25">
      <c r="A51" s="2" t="s">
        <v>96</v>
      </c>
      <c r="B51" t="e">
        <f t="shared" si="12"/>
        <v>#VALUE!</v>
      </c>
      <c r="C51">
        <f t="shared" si="17"/>
        <v>2.6619999999999999E-3</v>
      </c>
      <c r="D51" t="e">
        <f t="shared" si="17"/>
        <v>#VALUE!</v>
      </c>
      <c r="E51" t="e">
        <f t="shared" si="17"/>
        <v>#VALUE!</v>
      </c>
      <c r="F51" t="e">
        <f t="shared" si="17"/>
        <v>#VALUE!</v>
      </c>
      <c r="G51" t="e">
        <f t="shared" si="17"/>
        <v>#VALUE!</v>
      </c>
      <c r="H51" t="e">
        <f t="shared" si="17"/>
        <v>#VALUE!</v>
      </c>
      <c r="I51">
        <f t="shared" si="17"/>
        <v>4.4236666666666669E-3</v>
      </c>
      <c r="J51" t="e">
        <f t="shared" si="17"/>
        <v>#VALUE!</v>
      </c>
      <c r="K51" t="e">
        <f t="shared" si="17"/>
        <v>#VALUE!</v>
      </c>
      <c r="L51" t="e">
        <f t="shared" si="17"/>
        <v>#VALUE!</v>
      </c>
      <c r="M51">
        <f t="shared" si="17"/>
        <v>2.3879999999999999E-3</v>
      </c>
      <c r="N51" t="e">
        <f t="shared" si="17"/>
        <v>#VALUE!</v>
      </c>
      <c r="O51" t="e">
        <f t="shared" si="17"/>
        <v>#VALUE!</v>
      </c>
      <c r="P51" t="e">
        <f t="shared" si="17"/>
        <v>#VALUE!</v>
      </c>
      <c r="Q51">
        <f t="shared" si="17"/>
        <v>9.1933333333333331E-4</v>
      </c>
      <c r="R51" t="e">
        <f t="shared" si="17"/>
        <v>#VALUE!</v>
      </c>
      <c r="S51">
        <f t="shared" si="17"/>
        <v>1.0785999999999999E-2</v>
      </c>
      <c r="T51" t="e">
        <f t="shared" si="17"/>
        <v>#VALUE!</v>
      </c>
      <c r="U51" t="e">
        <f t="shared" si="17"/>
        <v>#VALUE!</v>
      </c>
      <c r="V51" t="e">
        <f t="shared" si="17"/>
        <v>#VALUE!</v>
      </c>
      <c r="W51">
        <f t="shared" si="17"/>
        <v>7.8800000000000007E-4</v>
      </c>
      <c r="X51" t="e">
        <f t="shared" si="17"/>
        <v>#VALUE!</v>
      </c>
      <c r="Y51" t="e">
        <f t="shared" si="17"/>
        <v>#VALUE!</v>
      </c>
      <c r="Z51" t="e">
        <f t="shared" si="17"/>
        <v>#VALUE!</v>
      </c>
      <c r="AA51">
        <f t="shared" si="17"/>
        <v>7.7499999999999997E-4</v>
      </c>
      <c r="AB51" t="e">
        <f t="shared" si="17"/>
        <v>#VALUE!</v>
      </c>
      <c r="AC51" t="e">
        <f t="shared" si="17"/>
        <v>#VALUE!</v>
      </c>
      <c r="AD51" t="e">
        <f t="shared" si="17"/>
        <v>#VALUE!</v>
      </c>
      <c r="AE51">
        <f t="shared" si="17"/>
        <v>5.711666666666667E-3</v>
      </c>
      <c r="AF51" t="e">
        <f t="shared" si="17"/>
        <v>#VALUE!</v>
      </c>
      <c r="AG51" t="e">
        <f t="shared" si="17"/>
        <v>#VALUE!</v>
      </c>
      <c r="AH51" t="e">
        <f t="shared" si="17"/>
        <v>#VALUE!</v>
      </c>
      <c r="AI51" t="e">
        <f t="shared" si="17"/>
        <v>#VALUE!</v>
      </c>
      <c r="AJ51" t="e">
        <f t="shared" si="17"/>
        <v>#VALUE!</v>
      </c>
      <c r="AK51">
        <f t="shared" si="17"/>
        <v>1.263E-3</v>
      </c>
      <c r="AL51" t="e">
        <f t="shared" si="17"/>
        <v>#VALUE!</v>
      </c>
      <c r="AM51" t="e">
        <f t="shared" si="17"/>
        <v>#VALUE!</v>
      </c>
      <c r="AN51" t="e">
        <f t="shared" si="17"/>
        <v>#VALUE!</v>
      </c>
      <c r="AO51" t="e">
        <f t="shared" si="17"/>
        <v>#VALUE!</v>
      </c>
      <c r="AP51" t="e">
        <f t="shared" si="17"/>
        <v>#VALUE!</v>
      </c>
      <c r="AQ51">
        <f t="shared" si="17"/>
        <v>3.6303333333333331E-3</v>
      </c>
      <c r="AR51" t="e">
        <f t="shared" si="17"/>
        <v>#VALUE!</v>
      </c>
      <c r="AS51" t="e">
        <f t="shared" si="17"/>
        <v>#VALUE!</v>
      </c>
      <c r="AT51" t="e">
        <f t="shared" si="17"/>
        <v>#VALUE!</v>
      </c>
      <c r="AU51" t="e">
        <f t="shared" si="17"/>
        <v>#VALUE!</v>
      </c>
      <c r="AV51" t="e">
        <f t="shared" si="17"/>
        <v>#VALUE!</v>
      </c>
      <c r="AW51">
        <f t="shared" si="17"/>
        <v>2.7189999999999996E-3</v>
      </c>
      <c r="AX51" t="e">
        <f t="shared" si="17"/>
        <v>#VALUE!</v>
      </c>
      <c r="AY51">
        <f t="shared" si="17"/>
        <v>9.0016666666666665E-3</v>
      </c>
      <c r="AZ51" t="e">
        <f t="shared" si="17"/>
        <v>#VALUE!</v>
      </c>
      <c r="BA51" t="e">
        <f t="shared" si="17"/>
        <v>#VALUE!</v>
      </c>
      <c r="BB51" t="e">
        <f t="shared" si="17"/>
        <v>#VALUE!</v>
      </c>
      <c r="BC51" t="e">
        <f t="shared" si="17"/>
        <v>#VALUE!</v>
      </c>
      <c r="BD51" t="e">
        <f t="shared" si="17"/>
        <v>#VALUE!</v>
      </c>
      <c r="BE51">
        <f t="shared" si="17"/>
        <v>6.2666666666666665E-4</v>
      </c>
      <c r="BF51" t="e">
        <f t="shared" si="17"/>
        <v>#VALUE!</v>
      </c>
      <c r="BG51">
        <f t="shared" si="17"/>
        <v>2.6479999999999997E-3</v>
      </c>
      <c r="BH51" t="e">
        <f t="shared" si="17"/>
        <v>#VALUE!</v>
      </c>
      <c r="BI51" t="e">
        <f t="shared" si="17"/>
        <v>#VALUE!</v>
      </c>
      <c r="BJ51" t="e">
        <f t="shared" si="17"/>
        <v>#VALUE!</v>
      </c>
      <c r="BK51">
        <f t="shared" si="17"/>
        <v>2.2566666666666668E-3</v>
      </c>
      <c r="BL51" t="e">
        <f t="shared" si="17"/>
        <v>#VALUE!</v>
      </c>
      <c r="BM51" t="e">
        <f t="shared" si="17"/>
        <v>#VALUE!</v>
      </c>
      <c r="BN51" t="e">
        <f t="shared" ref="BN51:CC53" si="18">+BN33/3</f>
        <v>#VALUE!</v>
      </c>
      <c r="BO51">
        <f t="shared" si="18"/>
        <v>7.7566666666666669E-4</v>
      </c>
      <c r="BP51" t="e">
        <f t="shared" si="18"/>
        <v>#VALUE!</v>
      </c>
      <c r="BQ51" t="e">
        <f t="shared" si="18"/>
        <v>#VALUE!</v>
      </c>
      <c r="BR51" t="e">
        <f t="shared" si="18"/>
        <v>#VALUE!</v>
      </c>
      <c r="BS51" t="e">
        <f t="shared" si="18"/>
        <v>#VALUE!</v>
      </c>
      <c r="BT51" t="e">
        <f t="shared" si="18"/>
        <v>#VALUE!</v>
      </c>
      <c r="BU51">
        <f t="shared" si="18"/>
        <v>1.3773333333333335E-3</v>
      </c>
      <c r="BV51">
        <f t="shared" si="18"/>
        <v>0</v>
      </c>
      <c r="BW51">
        <f t="shared" si="18"/>
        <v>2.6573333333333332E-3</v>
      </c>
      <c r="BX51" t="e">
        <f t="shared" si="18"/>
        <v>#VALUE!</v>
      </c>
      <c r="BY51" t="e">
        <f t="shared" si="18"/>
        <v>#VALUE!</v>
      </c>
      <c r="BZ51" t="e">
        <f t="shared" si="18"/>
        <v>#VALUE!</v>
      </c>
      <c r="CA51">
        <f t="shared" si="18"/>
        <v>1.2199999999999999E-3</v>
      </c>
      <c r="CB51" t="e">
        <f t="shared" si="18"/>
        <v>#VALUE!</v>
      </c>
      <c r="CC51" t="e">
        <f t="shared" si="18"/>
        <v>#VALUE!</v>
      </c>
    </row>
    <row r="52" spans="1:81" ht="15.75" x14ac:dyDescent="0.25">
      <c r="A52" s="2" t="s">
        <v>97</v>
      </c>
      <c r="B52">
        <f t="shared" si="12"/>
        <v>1.5939999999999999E-3</v>
      </c>
      <c r="C52">
        <f t="shared" ref="C52:BN53" si="19">+C34/3</f>
        <v>1.6069999999999999E-3</v>
      </c>
      <c r="D52">
        <f t="shared" si="19"/>
        <v>2.9593333333333333E-3</v>
      </c>
      <c r="E52">
        <f t="shared" si="19"/>
        <v>3.8606666666666668E-3</v>
      </c>
      <c r="F52">
        <f t="shared" si="19"/>
        <v>1.4483333333333334E-3</v>
      </c>
      <c r="G52">
        <f t="shared" si="19"/>
        <v>1.3889999999999998E-3</v>
      </c>
      <c r="H52">
        <f t="shared" si="19"/>
        <v>1.6309999999999999E-3</v>
      </c>
      <c r="I52">
        <f t="shared" si="19"/>
        <v>2.9203333333333334E-3</v>
      </c>
      <c r="J52">
        <f t="shared" si="19"/>
        <v>2.075E-3</v>
      </c>
      <c r="K52">
        <f t="shared" si="19"/>
        <v>2.2443333333333334E-3</v>
      </c>
      <c r="L52">
        <f t="shared" si="19"/>
        <v>6.019333333333334E-3</v>
      </c>
      <c r="M52">
        <f t="shared" si="19"/>
        <v>1.8213333333333334E-3</v>
      </c>
      <c r="N52">
        <f t="shared" si="19"/>
        <v>1.915E-3</v>
      </c>
      <c r="O52">
        <f t="shared" si="19"/>
        <v>1.2953333333333334E-3</v>
      </c>
      <c r="P52">
        <f t="shared" si="19"/>
        <v>9.7099999999999997E-4</v>
      </c>
      <c r="Q52">
        <f t="shared" si="19"/>
        <v>1.4836666666666668E-3</v>
      </c>
      <c r="R52">
        <f t="shared" si="19"/>
        <v>2.415E-3</v>
      </c>
      <c r="S52">
        <f t="shared" si="19"/>
        <v>3.6323333333333333E-3</v>
      </c>
      <c r="T52">
        <f t="shared" si="19"/>
        <v>2.356E-3</v>
      </c>
      <c r="U52">
        <f t="shared" si="19"/>
        <v>2.1726666666666669E-3</v>
      </c>
      <c r="V52">
        <f t="shared" si="19"/>
        <v>1.119E-3</v>
      </c>
      <c r="W52">
        <f t="shared" si="19"/>
        <v>9.5E-4</v>
      </c>
      <c r="X52">
        <f t="shared" si="19"/>
        <v>1.176E-3</v>
      </c>
      <c r="Y52">
        <f t="shared" si="19"/>
        <v>1.0009999999999999E-3</v>
      </c>
      <c r="Z52">
        <f t="shared" si="19"/>
        <v>1.632E-3</v>
      </c>
      <c r="AA52">
        <f t="shared" si="19"/>
        <v>2.9580000000000001E-3</v>
      </c>
      <c r="AB52">
        <f t="shared" si="19"/>
        <v>3.48E-3</v>
      </c>
      <c r="AC52">
        <f t="shared" si="19"/>
        <v>3.3356666666666669E-3</v>
      </c>
      <c r="AD52">
        <f t="shared" si="19"/>
        <v>5.7460000000000002E-3</v>
      </c>
      <c r="AE52">
        <f t="shared" si="19"/>
        <v>1.9633333333333334E-3</v>
      </c>
      <c r="AF52">
        <f t="shared" si="19"/>
        <v>4.0586666666666662E-3</v>
      </c>
      <c r="AG52">
        <f t="shared" si="19"/>
        <v>1.877E-3</v>
      </c>
      <c r="AH52">
        <f t="shared" si="19"/>
        <v>1.2683333333333333E-3</v>
      </c>
      <c r="AI52">
        <f t="shared" si="19"/>
        <v>8.343333333333333E-4</v>
      </c>
      <c r="AJ52">
        <f t="shared" si="19"/>
        <v>7.0666666666666664E-4</v>
      </c>
      <c r="AK52">
        <f t="shared" si="19"/>
        <v>8.969999999999999E-4</v>
      </c>
      <c r="AL52">
        <f t="shared" si="19"/>
        <v>1.1166666666666666E-3</v>
      </c>
      <c r="AM52">
        <f t="shared" si="19"/>
        <v>2.4076666666666669E-3</v>
      </c>
      <c r="AN52">
        <f t="shared" si="19"/>
        <v>2.7420000000000001E-3</v>
      </c>
      <c r="AO52">
        <f t="shared" si="19"/>
        <v>1.851E-3</v>
      </c>
      <c r="AP52">
        <f t="shared" si="19"/>
        <v>2.8E-3</v>
      </c>
      <c r="AQ52">
        <f t="shared" si="19"/>
        <v>2.2986666666666667E-3</v>
      </c>
      <c r="AR52">
        <f t="shared" si="19"/>
        <v>2.251E-3</v>
      </c>
      <c r="AS52">
        <f t="shared" si="19"/>
        <v>1.1876666666666667E-3</v>
      </c>
      <c r="AT52">
        <f t="shared" si="19"/>
        <v>3.7406666666666664E-3</v>
      </c>
      <c r="AU52">
        <f t="shared" si="19"/>
        <v>5.8633333333333341E-3</v>
      </c>
      <c r="AV52">
        <f t="shared" si="19"/>
        <v>6.7006666666666664E-3</v>
      </c>
      <c r="AW52">
        <f t="shared" si="19"/>
        <v>4.3373333333333328E-3</v>
      </c>
      <c r="AX52">
        <f t="shared" si="19"/>
        <v>1.2670000000000001E-3</v>
      </c>
      <c r="AY52">
        <f t="shared" si="19"/>
        <v>4.9446666666666667E-3</v>
      </c>
      <c r="AZ52">
        <f t="shared" si="19"/>
        <v>1.5093333333333332E-3</v>
      </c>
      <c r="BA52">
        <f t="shared" si="19"/>
        <v>1.4566666666666667E-3</v>
      </c>
      <c r="BB52">
        <f t="shared" si="19"/>
        <v>1.7676666666666667E-3</v>
      </c>
      <c r="BC52">
        <f t="shared" si="19"/>
        <v>9.9533333333333331E-4</v>
      </c>
      <c r="BD52">
        <f t="shared" si="19"/>
        <v>1.5190000000000002E-3</v>
      </c>
      <c r="BE52">
        <f t="shared" si="19"/>
        <v>1.8526666666666665E-3</v>
      </c>
      <c r="BF52">
        <f t="shared" si="19"/>
        <v>2.4436666666666665E-3</v>
      </c>
      <c r="BG52">
        <f t="shared" si="19"/>
        <v>2.81E-3</v>
      </c>
      <c r="BH52">
        <f t="shared" si="19"/>
        <v>3.4289999999999998E-3</v>
      </c>
      <c r="BI52">
        <f t="shared" si="19"/>
        <v>3.1753333333333334E-3</v>
      </c>
      <c r="BJ52">
        <f t="shared" si="19"/>
        <v>1.797E-3</v>
      </c>
      <c r="BK52">
        <f t="shared" si="19"/>
        <v>1.2636666666666666E-3</v>
      </c>
      <c r="BL52">
        <f t="shared" si="19"/>
        <v>1.8243333333333332E-3</v>
      </c>
      <c r="BM52">
        <f t="shared" si="19"/>
        <v>1.694E-3</v>
      </c>
      <c r="BN52">
        <f t="shared" si="19"/>
        <v>7.9133333333333323E-4</v>
      </c>
      <c r="BO52">
        <f t="shared" si="18"/>
        <v>5.7633333333333332E-4</v>
      </c>
      <c r="BP52">
        <f t="shared" si="18"/>
        <v>7.853333333333333E-4</v>
      </c>
      <c r="BQ52">
        <f t="shared" si="18"/>
        <v>7.0233333333333335E-4</v>
      </c>
      <c r="BR52">
        <f t="shared" si="18"/>
        <v>1.0033333333333333E-3</v>
      </c>
      <c r="BS52">
        <f t="shared" si="18"/>
        <v>8.1033333333333337E-4</v>
      </c>
      <c r="BT52">
        <f t="shared" si="18"/>
        <v>9.4700000000000003E-4</v>
      </c>
      <c r="BU52">
        <f t="shared" si="18"/>
        <v>1.2346666666666667E-3</v>
      </c>
      <c r="BV52">
        <f t="shared" si="18"/>
        <v>5.6700000000000001E-4</v>
      </c>
      <c r="BW52">
        <f t="shared" si="18"/>
        <v>5.2700000000000002E-4</v>
      </c>
      <c r="BX52">
        <f t="shared" si="18"/>
        <v>3.7266666666666671E-4</v>
      </c>
      <c r="BY52">
        <f t="shared" si="18"/>
        <v>7.8299999999999995E-4</v>
      </c>
      <c r="BZ52">
        <f t="shared" si="18"/>
        <v>2.8216666666666668E-3</v>
      </c>
      <c r="CA52">
        <f t="shared" si="18"/>
        <v>1.7003333333333332E-3</v>
      </c>
      <c r="CB52">
        <f t="shared" si="18"/>
        <v>2.7126666666666666E-3</v>
      </c>
      <c r="CC52">
        <f t="shared" si="18"/>
        <v>3.0173333333333332E-3</v>
      </c>
    </row>
    <row r="53" spans="1:81" ht="15.75" x14ac:dyDescent="0.25">
      <c r="A53" s="2" t="s">
        <v>98</v>
      </c>
      <c r="B53">
        <f t="shared" si="12"/>
        <v>1.6407000000000001E-2</v>
      </c>
      <c r="C53">
        <f t="shared" si="19"/>
        <v>1.4159333333333335E-2</v>
      </c>
      <c r="D53">
        <f t="shared" si="19"/>
        <v>3.7560666666666666E-2</v>
      </c>
      <c r="E53">
        <f t="shared" si="19"/>
        <v>1.6568333333333334E-2</v>
      </c>
      <c r="F53">
        <f t="shared" si="19"/>
        <v>3.5133333333333329E-2</v>
      </c>
      <c r="G53">
        <f t="shared" si="19"/>
        <v>6.4713666666666669E-2</v>
      </c>
      <c r="H53">
        <f t="shared" si="19"/>
        <v>1.4649666666666667E-2</v>
      </c>
      <c r="I53">
        <f t="shared" si="19"/>
        <v>6.416266666666666E-2</v>
      </c>
      <c r="J53">
        <f t="shared" si="19"/>
        <v>8.3597333333333343E-2</v>
      </c>
      <c r="K53">
        <f t="shared" si="19"/>
        <v>9.9963999999999997E-2</v>
      </c>
      <c r="L53">
        <f t="shared" si="19"/>
        <v>0.10755266666666667</v>
      </c>
      <c r="M53">
        <f t="shared" si="19"/>
        <v>3.4736333333333334E-2</v>
      </c>
      <c r="N53">
        <f t="shared" si="19"/>
        <v>4.2727333333333332E-2</v>
      </c>
      <c r="O53">
        <f t="shared" si="19"/>
        <v>7.9191999999999999E-2</v>
      </c>
      <c r="P53">
        <f t="shared" si="19"/>
        <v>3.2536666666666665E-2</v>
      </c>
      <c r="Q53">
        <f t="shared" si="19"/>
        <v>2.5579666666666667E-2</v>
      </c>
      <c r="R53">
        <f t="shared" si="19"/>
        <v>9.4796666666666658E-3</v>
      </c>
      <c r="S53">
        <f t="shared" si="19"/>
        <v>3.7089666666666667E-2</v>
      </c>
      <c r="T53">
        <f t="shared" si="19"/>
        <v>4.9873333333333332E-3</v>
      </c>
      <c r="U53">
        <f t="shared" si="19"/>
        <v>6.0026666666666666E-3</v>
      </c>
      <c r="V53">
        <f t="shared" si="19"/>
        <v>4.0820000000000002E-2</v>
      </c>
      <c r="W53">
        <f t="shared" si="19"/>
        <v>1.9559666666666666E-2</v>
      </c>
      <c r="X53">
        <f t="shared" si="19"/>
        <v>0.12328433333333333</v>
      </c>
      <c r="Y53">
        <f t="shared" si="19"/>
        <v>4.7323333333333332E-3</v>
      </c>
      <c r="Z53">
        <f t="shared" si="19"/>
        <v>9.6599999999999995E-4</v>
      </c>
      <c r="AA53">
        <f t="shared" si="19"/>
        <v>7.7700000000000002E-4</v>
      </c>
      <c r="AB53">
        <f t="shared" si="19"/>
        <v>7.806666666666666E-4</v>
      </c>
      <c r="AC53">
        <f t="shared" si="19"/>
        <v>2.3203333333333335E-3</v>
      </c>
      <c r="AD53">
        <f t="shared" si="19"/>
        <v>6.3983333333333331E-3</v>
      </c>
      <c r="AE53">
        <f t="shared" si="19"/>
        <v>4.6080000000000001E-3</v>
      </c>
      <c r="AF53">
        <f t="shared" si="19"/>
        <v>2.441E-3</v>
      </c>
      <c r="AG53">
        <f t="shared" si="19"/>
        <v>4.4706666666666671E-3</v>
      </c>
      <c r="AH53">
        <f t="shared" si="19"/>
        <v>8.3563333333333337E-3</v>
      </c>
      <c r="AI53">
        <f t="shared" si="19"/>
        <v>3.4488666666666667E-2</v>
      </c>
      <c r="AJ53">
        <f t="shared" si="19"/>
        <v>1.2617999999999999E-2</v>
      </c>
      <c r="AK53">
        <f t="shared" si="19"/>
        <v>1.1467333333333335E-2</v>
      </c>
      <c r="AL53">
        <f t="shared" si="19"/>
        <v>2.3403666666666666E-2</v>
      </c>
      <c r="AM53">
        <f t="shared" si="19"/>
        <v>2.4452999999999999E-2</v>
      </c>
      <c r="AN53">
        <f t="shared" si="19"/>
        <v>3.8505666666666667E-2</v>
      </c>
      <c r="AO53">
        <f t="shared" si="19"/>
        <v>1.6674999999999999E-2</v>
      </c>
      <c r="AP53">
        <f t="shared" si="19"/>
        <v>2.7856666666666668E-3</v>
      </c>
      <c r="AQ53">
        <f t="shared" si="19"/>
        <v>6.347733333333333E-2</v>
      </c>
      <c r="AR53">
        <f t="shared" si="19"/>
        <v>5.0471999999999996E-2</v>
      </c>
      <c r="AS53">
        <f t="shared" si="19"/>
        <v>9.7180666666666679E-2</v>
      </c>
      <c r="AT53">
        <f t="shared" si="19"/>
        <v>5.0476666666666664E-3</v>
      </c>
      <c r="AU53">
        <f t="shared" si="19"/>
        <v>3.8068666666666667E-2</v>
      </c>
      <c r="AV53">
        <f t="shared" si="19"/>
        <v>2.1985000000000001E-2</v>
      </c>
      <c r="AW53">
        <f t="shared" si="19"/>
        <v>1.7005666666666665E-2</v>
      </c>
      <c r="AX53">
        <f t="shared" si="19"/>
        <v>7.7783333333333329E-2</v>
      </c>
      <c r="AY53">
        <f t="shared" si="19"/>
        <v>5.1839666666666666E-2</v>
      </c>
      <c r="AZ53">
        <f t="shared" si="19"/>
        <v>2.9936666666666667E-2</v>
      </c>
      <c r="BA53">
        <f t="shared" si="19"/>
        <v>4.4782666666666665E-2</v>
      </c>
      <c r="BB53">
        <f t="shared" si="19"/>
        <v>4.8613999999999997E-2</v>
      </c>
      <c r="BC53">
        <f t="shared" si="19"/>
        <v>1.5044333333333333E-2</v>
      </c>
      <c r="BD53">
        <f t="shared" si="19"/>
        <v>1.7663333333333333E-2</v>
      </c>
      <c r="BE53">
        <f t="shared" si="19"/>
        <v>2.9531666666666664E-2</v>
      </c>
      <c r="BF53">
        <f t="shared" si="19"/>
        <v>1.6365666666666667E-2</v>
      </c>
      <c r="BG53">
        <f t="shared" si="19"/>
        <v>1.7901333333333335E-2</v>
      </c>
      <c r="BH53">
        <f t="shared" si="19"/>
        <v>1.1722333333333333E-2</v>
      </c>
      <c r="BI53">
        <f t="shared" si="19"/>
        <v>9.1216666666666668E-3</v>
      </c>
      <c r="BJ53">
        <f t="shared" si="19"/>
        <v>1.9772000000000001E-2</v>
      </c>
      <c r="BK53">
        <f t="shared" si="19"/>
        <v>2.4356666666666665E-2</v>
      </c>
      <c r="BL53">
        <f t="shared" si="19"/>
        <v>3.653766666666667E-2</v>
      </c>
      <c r="BM53">
        <f t="shared" si="19"/>
        <v>1.5845999999999999E-2</v>
      </c>
      <c r="BN53">
        <f t="shared" si="19"/>
        <v>3.1514E-2</v>
      </c>
      <c r="BO53">
        <f t="shared" si="18"/>
        <v>2.2429666666666667E-2</v>
      </c>
      <c r="BP53">
        <f t="shared" si="18"/>
        <v>3.4721333333333333E-2</v>
      </c>
      <c r="BQ53">
        <f t="shared" si="18"/>
        <v>5.3678000000000003E-2</v>
      </c>
      <c r="BR53">
        <f t="shared" si="18"/>
        <v>2.3776666666666664E-3</v>
      </c>
      <c r="BS53">
        <f t="shared" si="18"/>
        <v>3.7813333333333332E-3</v>
      </c>
      <c r="BT53">
        <f t="shared" si="18"/>
        <v>2.6196666666666664E-3</v>
      </c>
      <c r="BU53">
        <f t="shared" si="18"/>
        <v>7.5526666666666667E-3</v>
      </c>
      <c r="BV53">
        <f t="shared" si="18"/>
        <v>3.6480666666666668E-2</v>
      </c>
      <c r="BW53">
        <f t="shared" si="18"/>
        <v>5.4115666666666666E-2</v>
      </c>
      <c r="BX53">
        <f t="shared" si="18"/>
        <v>5.6732333333333329E-2</v>
      </c>
      <c r="BY53">
        <f t="shared" si="18"/>
        <v>3.2727666666666669E-2</v>
      </c>
      <c r="BZ53">
        <f t="shared" si="18"/>
        <v>1.5323000000000002E-2</v>
      </c>
      <c r="CA53">
        <f t="shared" si="18"/>
        <v>2.1211999999999998E-2</v>
      </c>
      <c r="CB53">
        <f t="shared" si="18"/>
        <v>9.2275666666666659E-2</v>
      </c>
      <c r="CC53">
        <f t="shared" si="18"/>
        <v>2.0132333333333332E-2</v>
      </c>
    </row>
    <row r="54" spans="1:81" s="6" customFormat="1" x14ac:dyDescent="0.25">
      <c r="B54" s="6" t="s">
        <v>108</v>
      </c>
      <c r="C54" s="6" t="s">
        <v>108</v>
      </c>
      <c r="D54" s="6" t="s">
        <v>108</v>
      </c>
      <c r="E54" s="6" t="s">
        <v>108</v>
      </c>
      <c r="F54" s="6" t="s">
        <v>108</v>
      </c>
      <c r="G54" s="6" t="s">
        <v>108</v>
      </c>
      <c r="H54" s="6" t="s">
        <v>108</v>
      </c>
      <c r="I54" s="6" t="s">
        <v>108</v>
      </c>
      <c r="J54" s="6" t="s">
        <v>108</v>
      </c>
      <c r="K54" s="6" t="s">
        <v>108</v>
      </c>
      <c r="L54" s="6" t="s">
        <v>108</v>
      </c>
      <c r="M54" s="6" t="s">
        <v>108</v>
      </c>
      <c r="N54" s="6" t="s">
        <v>108</v>
      </c>
      <c r="O54" s="6" t="s">
        <v>108</v>
      </c>
      <c r="P54" s="6" t="s">
        <v>108</v>
      </c>
      <c r="Q54" s="6" t="s">
        <v>108</v>
      </c>
      <c r="R54" s="6" t="s">
        <v>108</v>
      </c>
      <c r="S54" s="6" t="s">
        <v>108</v>
      </c>
      <c r="T54" s="6" t="s">
        <v>108</v>
      </c>
      <c r="U54" s="6" t="s">
        <v>108</v>
      </c>
      <c r="V54" s="6" t="s">
        <v>108</v>
      </c>
      <c r="W54" s="6" t="s">
        <v>108</v>
      </c>
      <c r="X54" s="6" t="s">
        <v>108</v>
      </c>
      <c r="Y54" s="6" t="s">
        <v>108</v>
      </c>
      <c r="Z54" s="6" t="s">
        <v>108</v>
      </c>
      <c r="AA54" s="6" t="s">
        <v>108</v>
      </c>
      <c r="AB54" s="6" t="s">
        <v>108</v>
      </c>
      <c r="AC54" s="6" t="s">
        <v>108</v>
      </c>
      <c r="AD54" s="6" t="s">
        <v>108</v>
      </c>
      <c r="AE54" s="6" t="s">
        <v>108</v>
      </c>
      <c r="AF54" s="6" t="s">
        <v>108</v>
      </c>
      <c r="AG54" s="6" t="s">
        <v>108</v>
      </c>
      <c r="AH54" s="6" t="s">
        <v>108</v>
      </c>
      <c r="AI54" s="6" t="s">
        <v>108</v>
      </c>
      <c r="AJ54" s="6" t="s">
        <v>108</v>
      </c>
      <c r="AK54" s="6" t="s">
        <v>108</v>
      </c>
      <c r="AL54" s="6" t="s">
        <v>108</v>
      </c>
      <c r="AM54" s="6" t="s">
        <v>108</v>
      </c>
      <c r="AN54" s="6" t="s">
        <v>108</v>
      </c>
      <c r="AO54" s="6" t="s">
        <v>108</v>
      </c>
      <c r="AP54" s="6" t="s">
        <v>108</v>
      </c>
      <c r="AQ54" s="6" t="s">
        <v>108</v>
      </c>
      <c r="AR54" s="6" t="s">
        <v>108</v>
      </c>
      <c r="AS54" s="6" t="s">
        <v>108</v>
      </c>
      <c r="AT54" s="6" t="s">
        <v>108</v>
      </c>
      <c r="AU54" s="6" t="s">
        <v>108</v>
      </c>
      <c r="AV54" s="6" t="s">
        <v>108</v>
      </c>
      <c r="AW54" s="6" t="s">
        <v>108</v>
      </c>
      <c r="AX54" s="6" t="s">
        <v>108</v>
      </c>
      <c r="AY54" s="6" t="s">
        <v>108</v>
      </c>
      <c r="AZ54" s="6" t="s">
        <v>108</v>
      </c>
      <c r="BA54" s="6" t="s">
        <v>108</v>
      </c>
      <c r="BB54" s="6" t="s">
        <v>108</v>
      </c>
      <c r="BC54" s="6" t="s">
        <v>108</v>
      </c>
      <c r="BD54" s="6" t="s">
        <v>108</v>
      </c>
      <c r="BE54" s="6" t="s">
        <v>108</v>
      </c>
      <c r="BF54" s="6" t="s">
        <v>108</v>
      </c>
      <c r="BG54" s="6" t="s">
        <v>108</v>
      </c>
      <c r="BH54" s="6" t="s">
        <v>108</v>
      </c>
      <c r="BI54" s="6" t="s">
        <v>108</v>
      </c>
      <c r="BJ54" s="6" t="s">
        <v>108</v>
      </c>
      <c r="BK54" s="6" t="s">
        <v>108</v>
      </c>
      <c r="BL54" s="6" t="s">
        <v>108</v>
      </c>
      <c r="BM54" s="6" t="s">
        <v>108</v>
      </c>
      <c r="BN54" s="6" t="s">
        <v>108</v>
      </c>
      <c r="BO54" s="6" t="s">
        <v>108</v>
      </c>
      <c r="BP54" s="6" t="s">
        <v>108</v>
      </c>
      <c r="BQ54" s="6" t="s">
        <v>108</v>
      </c>
      <c r="BR54" s="6" t="s">
        <v>108</v>
      </c>
      <c r="BS54" s="6" t="s">
        <v>108</v>
      </c>
      <c r="BT54" s="6" t="s">
        <v>108</v>
      </c>
      <c r="BU54" s="6" t="s">
        <v>108</v>
      </c>
      <c r="BV54" s="6" t="s">
        <v>108</v>
      </c>
      <c r="BW54" s="6" t="s">
        <v>108</v>
      </c>
      <c r="BX54" s="6" t="s">
        <v>108</v>
      </c>
      <c r="BY54" s="6" t="s">
        <v>108</v>
      </c>
      <c r="BZ54" s="6" t="s">
        <v>108</v>
      </c>
      <c r="CA54" s="6" t="s">
        <v>108</v>
      </c>
      <c r="CB54" s="6" t="s">
        <v>108</v>
      </c>
      <c r="CC54" s="6" t="s">
        <v>108</v>
      </c>
    </row>
    <row r="55" spans="1:81" ht="15.75" x14ac:dyDescent="0.25">
      <c r="A55" s="2" t="s">
        <v>81</v>
      </c>
      <c r="B55">
        <f>+B38*1000</f>
        <v>38.101333333333336</v>
      </c>
      <c r="C55">
        <f t="shared" ref="C55:BN56" si="20">+C38*1000</f>
        <v>84.707333333333338</v>
      </c>
      <c r="D55">
        <f t="shared" si="20"/>
        <v>75.882999999999996</v>
      </c>
      <c r="E55">
        <f t="shared" si="20"/>
        <v>107.233</v>
      </c>
      <c r="F55">
        <f t="shared" si="20"/>
        <v>84.251333333333335</v>
      </c>
      <c r="G55">
        <f t="shared" si="20"/>
        <v>54.922333333333327</v>
      </c>
      <c r="H55">
        <f t="shared" si="20"/>
        <v>87.278666666666666</v>
      </c>
      <c r="I55">
        <f t="shared" si="20"/>
        <v>66.558999999999997</v>
      </c>
      <c r="J55">
        <f t="shared" si="20"/>
        <v>68.378000000000014</v>
      </c>
      <c r="K55">
        <f t="shared" si="20"/>
        <v>33.401000000000003</v>
      </c>
      <c r="L55">
        <f t="shared" si="20"/>
        <v>70.108333333333348</v>
      </c>
      <c r="M55">
        <f t="shared" si="20"/>
        <v>49.829333333333338</v>
      </c>
      <c r="N55">
        <f t="shared" si="20"/>
        <v>44.199333333333335</v>
      </c>
      <c r="O55">
        <f t="shared" si="20"/>
        <v>63.753999999999991</v>
      </c>
      <c r="P55">
        <f t="shared" si="20"/>
        <v>89.115666666666669</v>
      </c>
      <c r="Q55">
        <f t="shared" si="20"/>
        <v>196.738</v>
      </c>
      <c r="R55">
        <f t="shared" si="20"/>
        <v>207.43199999999999</v>
      </c>
      <c r="S55">
        <f t="shared" si="20"/>
        <v>303.60033333333331</v>
      </c>
      <c r="T55">
        <f t="shared" si="20"/>
        <v>204.43333333333334</v>
      </c>
      <c r="U55">
        <f t="shared" si="20"/>
        <v>181.12666666666667</v>
      </c>
      <c r="V55">
        <f t="shared" si="20"/>
        <v>64.538333333333341</v>
      </c>
      <c r="W55">
        <f t="shared" si="20"/>
        <v>18.747666666666667</v>
      </c>
      <c r="X55">
        <f t="shared" si="20"/>
        <v>18.342000000000002</v>
      </c>
      <c r="Y55">
        <f t="shared" si="20"/>
        <v>22.582333333333334</v>
      </c>
      <c r="Z55">
        <f t="shared" si="20"/>
        <v>29.934333333333331</v>
      </c>
      <c r="AA55">
        <f t="shared" si="20"/>
        <v>57.983333333333334</v>
      </c>
      <c r="AB55">
        <f t="shared" si="20"/>
        <v>36.248666666666665</v>
      </c>
      <c r="AC55">
        <f t="shared" si="20"/>
        <v>45.302</v>
      </c>
      <c r="AD55">
        <f t="shared" si="20"/>
        <v>49.797333333333334</v>
      </c>
      <c r="AE55">
        <f t="shared" si="20"/>
        <v>78.09</v>
      </c>
      <c r="AF55">
        <f t="shared" si="20"/>
        <v>56.223666666666666</v>
      </c>
      <c r="AG55">
        <f t="shared" si="20"/>
        <v>51.472999999999999</v>
      </c>
      <c r="AH55">
        <f t="shared" si="20"/>
        <v>46.573333333333338</v>
      </c>
      <c r="AI55">
        <f t="shared" si="20"/>
        <v>29.550666666666665</v>
      </c>
      <c r="AJ55">
        <f t="shared" si="20"/>
        <v>58.419333333333327</v>
      </c>
      <c r="AK55">
        <f t="shared" si="20"/>
        <v>75.959666666666664</v>
      </c>
      <c r="AL55">
        <f t="shared" si="20"/>
        <v>42.054666666666662</v>
      </c>
      <c r="AM55">
        <f t="shared" si="20"/>
        <v>100.96866666666666</v>
      </c>
      <c r="AN55">
        <f t="shared" si="20"/>
        <v>90.726333333333343</v>
      </c>
      <c r="AO55">
        <f t="shared" si="20"/>
        <v>93.831333333333333</v>
      </c>
      <c r="AP55">
        <f t="shared" si="20"/>
        <v>103.37533333333333</v>
      </c>
      <c r="AQ55">
        <f t="shared" si="20"/>
        <v>128.25699999999998</v>
      </c>
      <c r="AR55">
        <f t="shared" si="20"/>
        <v>121.64700000000001</v>
      </c>
      <c r="AS55">
        <f t="shared" si="20"/>
        <v>158.245</v>
      </c>
      <c r="AT55">
        <f t="shared" si="20"/>
        <v>22.729333333333333</v>
      </c>
      <c r="AU55">
        <f t="shared" si="20"/>
        <v>37.246333333333332</v>
      </c>
      <c r="AV55">
        <f t="shared" si="20"/>
        <v>45.798999999999999</v>
      </c>
      <c r="AW55">
        <f t="shared" si="20"/>
        <v>34.462333333333341</v>
      </c>
      <c r="AX55">
        <f t="shared" si="20"/>
        <v>43.26166666666667</v>
      </c>
      <c r="AY55">
        <f t="shared" si="20"/>
        <v>44.093000000000004</v>
      </c>
      <c r="AZ55">
        <f t="shared" si="20"/>
        <v>41.30766666666667</v>
      </c>
      <c r="BA55">
        <f t="shared" si="20"/>
        <v>61.366666666666674</v>
      </c>
      <c r="BB55">
        <f t="shared" si="20"/>
        <v>331.78566666666671</v>
      </c>
      <c r="BC55">
        <f t="shared" si="20"/>
        <v>192.91100000000003</v>
      </c>
      <c r="BD55">
        <f t="shared" si="20"/>
        <v>185.91</v>
      </c>
      <c r="BE55">
        <f t="shared" si="20"/>
        <v>23.345666666666666</v>
      </c>
      <c r="BF55">
        <f t="shared" si="20"/>
        <v>64.655666666666662</v>
      </c>
      <c r="BG55">
        <f t="shared" si="20"/>
        <v>130.61933333333334</v>
      </c>
      <c r="BH55">
        <f t="shared" si="20"/>
        <v>113.55566666666667</v>
      </c>
      <c r="BI55">
        <f t="shared" si="20"/>
        <v>113.20633333333333</v>
      </c>
      <c r="BJ55">
        <f t="shared" si="20"/>
        <v>29.992666666666668</v>
      </c>
      <c r="BK55">
        <f t="shared" si="20"/>
        <v>106.354</v>
      </c>
      <c r="BL55">
        <f t="shared" si="20"/>
        <v>70.438666666666663</v>
      </c>
      <c r="BM55">
        <f t="shared" si="20"/>
        <v>47.268999999999998</v>
      </c>
      <c r="BN55">
        <f t="shared" si="20"/>
        <v>333.51566666666673</v>
      </c>
      <c r="BO55">
        <f t="shared" ref="BO55:CC59" si="21">+BO38*1000</f>
        <v>22.473333333333333</v>
      </c>
      <c r="BP55">
        <f t="shared" si="21"/>
        <v>56.594333333333331</v>
      </c>
      <c r="BQ55">
        <f t="shared" si="21"/>
        <v>53.966666666666661</v>
      </c>
      <c r="BR55">
        <f t="shared" si="21"/>
        <v>159.77199999999999</v>
      </c>
      <c r="BS55">
        <f t="shared" si="21"/>
        <v>107.02333333333334</v>
      </c>
      <c r="BT55">
        <f t="shared" si="21"/>
        <v>130.48666666666668</v>
      </c>
      <c r="BU55">
        <f t="shared" si="21"/>
        <v>61.544666666666664</v>
      </c>
      <c r="BV55">
        <f t="shared" si="21"/>
        <v>148.09466666666668</v>
      </c>
      <c r="BW55">
        <f t="shared" si="21"/>
        <v>77.906666666666666</v>
      </c>
      <c r="BX55">
        <f t="shared" si="21"/>
        <v>96.221000000000004</v>
      </c>
      <c r="BY55">
        <f t="shared" si="21"/>
        <v>64.212000000000003</v>
      </c>
      <c r="BZ55">
        <f t="shared" si="21"/>
        <v>113.47600000000001</v>
      </c>
      <c r="CA55">
        <f t="shared" si="21"/>
        <v>72.405666666666662</v>
      </c>
      <c r="CB55">
        <f t="shared" si="21"/>
        <v>85.837666666666664</v>
      </c>
      <c r="CC55">
        <f t="shared" si="21"/>
        <v>59.99966666666667</v>
      </c>
    </row>
    <row r="56" spans="1:81" ht="15.75" x14ac:dyDescent="0.25">
      <c r="A56" s="2" t="s">
        <v>82</v>
      </c>
      <c r="B56">
        <f t="shared" ref="B56:Q70" si="22">+B39*1000</f>
        <v>28.039333333333332</v>
      </c>
      <c r="C56">
        <f t="shared" si="22"/>
        <v>34.985666666666667</v>
      </c>
      <c r="D56">
        <f t="shared" si="22"/>
        <v>30.422000000000001</v>
      </c>
      <c r="E56">
        <f t="shared" si="22"/>
        <v>30.146999999999998</v>
      </c>
      <c r="F56">
        <f t="shared" si="22"/>
        <v>14.208</v>
      </c>
      <c r="G56">
        <f t="shared" si="22"/>
        <v>3.2316666666666669</v>
      </c>
      <c r="H56">
        <f t="shared" si="22"/>
        <v>24.407666666666664</v>
      </c>
      <c r="I56">
        <f t="shared" si="22"/>
        <v>17.878666666666668</v>
      </c>
      <c r="J56">
        <f t="shared" si="22"/>
        <v>23.471000000000004</v>
      </c>
      <c r="K56">
        <f t="shared" si="22"/>
        <v>31.773333333333333</v>
      </c>
      <c r="L56">
        <f t="shared" si="22"/>
        <v>48.116999999999997</v>
      </c>
      <c r="M56" t="e">
        <f t="shared" si="22"/>
        <v>#VALUE!</v>
      </c>
      <c r="N56" t="e">
        <f t="shared" si="22"/>
        <v>#VALUE!</v>
      </c>
      <c r="O56" t="e">
        <f t="shared" si="22"/>
        <v>#VALUE!</v>
      </c>
      <c r="P56" t="e">
        <f t="shared" si="22"/>
        <v>#VALUE!</v>
      </c>
      <c r="Q56" t="e">
        <f t="shared" si="22"/>
        <v>#VALUE!</v>
      </c>
      <c r="R56" t="e">
        <f t="shared" si="20"/>
        <v>#VALUE!</v>
      </c>
      <c r="S56" t="e">
        <f t="shared" si="20"/>
        <v>#VALUE!</v>
      </c>
      <c r="T56" t="e">
        <f t="shared" si="20"/>
        <v>#VALUE!</v>
      </c>
      <c r="U56">
        <f t="shared" si="20"/>
        <v>35.143333333333331</v>
      </c>
      <c r="V56" t="e">
        <f t="shared" si="20"/>
        <v>#VALUE!</v>
      </c>
      <c r="W56" t="e">
        <f t="shared" si="20"/>
        <v>#VALUE!</v>
      </c>
      <c r="X56" t="e">
        <f t="shared" si="20"/>
        <v>#VALUE!</v>
      </c>
      <c r="Y56">
        <f t="shared" si="20"/>
        <v>25.044333333333334</v>
      </c>
      <c r="Z56">
        <f t="shared" si="20"/>
        <v>12.257</v>
      </c>
      <c r="AA56">
        <f t="shared" si="20"/>
        <v>19.49966666666667</v>
      </c>
      <c r="AB56">
        <f t="shared" si="20"/>
        <v>5.1956666666666669</v>
      </c>
      <c r="AC56">
        <f t="shared" si="20"/>
        <v>6.4056666666666668</v>
      </c>
      <c r="AD56" t="e">
        <f t="shared" si="20"/>
        <v>#VALUE!</v>
      </c>
      <c r="AE56" t="e">
        <f t="shared" si="20"/>
        <v>#VALUE!</v>
      </c>
      <c r="AF56" t="e">
        <f t="shared" si="20"/>
        <v>#VALUE!</v>
      </c>
      <c r="AG56" t="e">
        <f t="shared" si="20"/>
        <v>#VALUE!</v>
      </c>
      <c r="AH56" t="e">
        <f t="shared" si="20"/>
        <v>#VALUE!</v>
      </c>
      <c r="AI56" t="e">
        <f t="shared" si="20"/>
        <v>#VALUE!</v>
      </c>
      <c r="AJ56" t="e">
        <f t="shared" si="20"/>
        <v>#VALUE!</v>
      </c>
      <c r="AK56" t="e">
        <f t="shared" si="20"/>
        <v>#VALUE!</v>
      </c>
      <c r="AL56" t="e">
        <f t="shared" si="20"/>
        <v>#VALUE!</v>
      </c>
      <c r="AM56" t="e">
        <f t="shared" si="20"/>
        <v>#VALUE!</v>
      </c>
      <c r="AN56" t="e">
        <f t="shared" si="20"/>
        <v>#VALUE!</v>
      </c>
      <c r="AO56" t="e">
        <f t="shared" si="20"/>
        <v>#VALUE!</v>
      </c>
      <c r="AP56" t="e">
        <f t="shared" si="20"/>
        <v>#VALUE!</v>
      </c>
      <c r="AQ56" t="e">
        <f t="shared" si="20"/>
        <v>#VALUE!</v>
      </c>
      <c r="AR56" t="e">
        <f t="shared" si="20"/>
        <v>#VALUE!</v>
      </c>
      <c r="AS56" t="e">
        <f t="shared" si="20"/>
        <v>#VALUE!</v>
      </c>
      <c r="AT56" t="e">
        <f t="shared" si="20"/>
        <v>#VALUE!</v>
      </c>
      <c r="AU56" t="e">
        <f t="shared" si="20"/>
        <v>#VALUE!</v>
      </c>
      <c r="AV56" t="e">
        <f t="shared" si="20"/>
        <v>#VALUE!</v>
      </c>
      <c r="AW56" t="e">
        <f t="shared" si="20"/>
        <v>#VALUE!</v>
      </c>
      <c r="AX56" t="e">
        <f t="shared" si="20"/>
        <v>#VALUE!</v>
      </c>
      <c r="AY56">
        <f t="shared" si="20"/>
        <v>0</v>
      </c>
      <c r="AZ56">
        <f t="shared" si="20"/>
        <v>23.632666666666665</v>
      </c>
      <c r="BA56">
        <f t="shared" si="20"/>
        <v>50.99</v>
      </c>
      <c r="BB56" t="e">
        <f t="shared" si="20"/>
        <v>#VALUE!</v>
      </c>
      <c r="BC56" t="e">
        <f t="shared" si="20"/>
        <v>#VALUE!</v>
      </c>
      <c r="BD56" t="e">
        <f t="shared" si="20"/>
        <v>#VALUE!</v>
      </c>
      <c r="BE56" t="e">
        <f t="shared" si="20"/>
        <v>#VALUE!</v>
      </c>
      <c r="BF56" t="e">
        <f t="shared" si="20"/>
        <v>#VALUE!</v>
      </c>
      <c r="BG56">
        <f t="shared" si="20"/>
        <v>0</v>
      </c>
      <c r="BH56" t="e">
        <f t="shared" si="20"/>
        <v>#VALUE!</v>
      </c>
      <c r="BI56" t="e">
        <f t="shared" si="20"/>
        <v>#VALUE!</v>
      </c>
      <c r="BJ56" t="e">
        <f t="shared" si="20"/>
        <v>#VALUE!</v>
      </c>
      <c r="BK56">
        <f t="shared" si="20"/>
        <v>20.932999999999996</v>
      </c>
      <c r="BL56" t="e">
        <f t="shared" si="20"/>
        <v>#VALUE!</v>
      </c>
      <c r="BM56" t="e">
        <f t="shared" si="20"/>
        <v>#VALUE!</v>
      </c>
      <c r="BN56">
        <f t="shared" si="20"/>
        <v>10.958666666666668</v>
      </c>
      <c r="BO56">
        <f t="shared" si="21"/>
        <v>4.3600000000000003</v>
      </c>
      <c r="BP56">
        <f t="shared" si="21"/>
        <v>12.287333333333333</v>
      </c>
      <c r="BQ56">
        <f t="shared" si="21"/>
        <v>4.7050000000000001</v>
      </c>
      <c r="BR56" t="e">
        <f t="shared" si="21"/>
        <v>#VALUE!</v>
      </c>
      <c r="BS56" t="e">
        <f t="shared" si="21"/>
        <v>#VALUE!</v>
      </c>
      <c r="BT56" t="e">
        <f t="shared" si="21"/>
        <v>#VALUE!</v>
      </c>
      <c r="BU56" t="e">
        <f t="shared" si="21"/>
        <v>#VALUE!</v>
      </c>
      <c r="BV56" t="e">
        <f t="shared" si="21"/>
        <v>#VALUE!</v>
      </c>
      <c r="BW56" t="e">
        <f t="shared" si="21"/>
        <v>#VALUE!</v>
      </c>
      <c r="BX56" t="e">
        <f t="shared" si="21"/>
        <v>#VALUE!</v>
      </c>
      <c r="BY56" t="e">
        <f t="shared" si="21"/>
        <v>#VALUE!</v>
      </c>
      <c r="BZ56" t="e">
        <f t="shared" si="21"/>
        <v>#VALUE!</v>
      </c>
      <c r="CA56" t="e">
        <f t="shared" si="21"/>
        <v>#VALUE!</v>
      </c>
      <c r="CB56" t="e">
        <f t="shared" si="21"/>
        <v>#VALUE!</v>
      </c>
      <c r="CC56" t="e">
        <f t="shared" si="21"/>
        <v>#VALUE!</v>
      </c>
    </row>
    <row r="57" spans="1:81" ht="15.75" x14ac:dyDescent="0.25">
      <c r="A57" s="2" t="s">
        <v>85</v>
      </c>
      <c r="B57" t="e">
        <f t="shared" si="22"/>
        <v>#VALUE!</v>
      </c>
      <c r="C57">
        <f t="shared" ref="C57:BN60" si="23">+C40*1000</f>
        <v>6.8906666666666663</v>
      </c>
      <c r="D57">
        <f t="shared" si="23"/>
        <v>1.0223333333333333</v>
      </c>
      <c r="E57">
        <f t="shared" si="23"/>
        <v>0.749</v>
      </c>
      <c r="F57" t="e">
        <f t="shared" si="23"/>
        <v>#VALUE!</v>
      </c>
      <c r="G57" t="e">
        <f t="shared" si="23"/>
        <v>#VALUE!</v>
      </c>
      <c r="H57" t="e">
        <f t="shared" si="23"/>
        <v>#VALUE!</v>
      </c>
      <c r="I57">
        <f t="shared" si="23"/>
        <v>7.1550000000000011</v>
      </c>
      <c r="J57" t="e">
        <f t="shared" si="23"/>
        <v>#VALUE!</v>
      </c>
      <c r="K57" t="e">
        <f t="shared" si="23"/>
        <v>#VALUE!</v>
      </c>
      <c r="L57" t="e">
        <f t="shared" si="23"/>
        <v>#VALUE!</v>
      </c>
      <c r="M57">
        <f t="shared" si="23"/>
        <v>5.6516666666666664</v>
      </c>
      <c r="N57" t="e">
        <f t="shared" si="23"/>
        <v>#VALUE!</v>
      </c>
      <c r="O57" t="e">
        <f t="shared" si="23"/>
        <v>#VALUE!</v>
      </c>
      <c r="P57" t="e">
        <f t="shared" si="23"/>
        <v>#VALUE!</v>
      </c>
      <c r="Q57">
        <f t="shared" si="23"/>
        <v>2.8256666666666668</v>
      </c>
      <c r="R57" t="e">
        <f t="shared" si="23"/>
        <v>#VALUE!</v>
      </c>
      <c r="S57">
        <f t="shared" si="23"/>
        <v>4.9106666666666667</v>
      </c>
      <c r="T57" t="e">
        <f t="shared" si="23"/>
        <v>#VALUE!</v>
      </c>
      <c r="U57" t="e">
        <f t="shared" si="23"/>
        <v>#VALUE!</v>
      </c>
      <c r="V57" t="e">
        <f t="shared" si="23"/>
        <v>#VALUE!</v>
      </c>
      <c r="W57">
        <f t="shared" si="23"/>
        <v>3.4846666666666666</v>
      </c>
      <c r="X57" t="e">
        <f t="shared" si="23"/>
        <v>#VALUE!</v>
      </c>
      <c r="Y57" t="e">
        <f t="shared" si="23"/>
        <v>#VALUE!</v>
      </c>
      <c r="Z57" t="e">
        <f t="shared" si="23"/>
        <v>#VALUE!</v>
      </c>
      <c r="AA57">
        <f t="shared" si="23"/>
        <v>1.9613333333333336</v>
      </c>
      <c r="AB57" t="e">
        <f t="shared" si="23"/>
        <v>#VALUE!</v>
      </c>
      <c r="AC57" t="e">
        <f t="shared" si="23"/>
        <v>#VALUE!</v>
      </c>
      <c r="AD57" t="e">
        <f t="shared" si="23"/>
        <v>#VALUE!</v>
      </c>
      <c r="AE57">
        <f t="shared" si="23"/>
        <v>3.4246666666666665</v>
      </c>
      <c r="AF57" t="e">
        <f t="shared" si="23"/>
        <v>#VALUE!</v>
      </c>
      <c r="AG57" t="e">
        <f t="shared" si="23"/>
        <v>#VALUE!</v>
      </c>
      <c r="AH57" t="e">
        <f t="shared" si="23"/>
        <v>#VALUE!</v>
      </c>
      <c r="AI57" t="e">
        <f t="shared" si="23"/>
        <v>#VALUE!</v>
      </c>
      <c r="AJ57" t="e">
        <f t="shared" si="23"/>
        <v>#VALUE!</v>
      </c>
      <c r="AK57">
        <f t="shared" si="23"/>
        <v>3.6806666666666668</v>
      </c>
      <c r="AL57" t="e">
        <f t="shared" si="23"/>
        <v>#VALUE!</v>
      </c>
      <c r="AM57" t="e">
        <f t="shared" si="23"/>
        <v>#VALUE!</v>
      </c>
      <c r="AN57" t="e">
        <f t="shared" si="23"/>
        <v>#VALUE!</v>
      </c>
      <c r="AO57" t="e">
        <f t="shared" si="23"/>
        <v>#VALUE!</v>
      </c>
      <c r="AP57" t="e">
        <f t="shared" si="23"/>
        <v>#VALUE!</v>
      </c>
      <c r="AQ57">
        <f t="shared" si="23"/>
        <v>3.6343333333333332</v>
      </c>
      <c r="AR57" t="e">
        <f t="shared" si="23"/>
        <v>#VALUE!</v>
      </c>
      <c r="AS57" t="e">
        <f t="shared" si="23"/>
        <v>#VALUE!</v>
      </c>
      <c r="AT57" t="e">
        <f t="shared" si="23"/>
        <v>#VALUE!</v>
      </c>
      <c r="AU57" t="e">
        <f t="shared" si="23"/>
        <v>#VALUE!</v>
      </c>
      <c r="AV57" t="e">
        <f t="shared" si="23"/>
        <v>#VALUE!</v>
      </c>
      <c r="AW57">
        <f t="shared" si="23"/>
        <v>3.5329999999999999</v>
      </c>
      <c r="AX57" t="e">
        <f t="shared" si="23"/>
        <v>#VALUE!</v>
      </c>
      <c r="AY57">
        <f t="shared" si="23"/>
        <v>5.359</v>
      </c>
      <c r="AZ57">
        <f t="shared" si="23"/>
        <v>3.3649999999999998</v>
      </c>
      <c r="BA57" t="e">
        <f t="shared" si="23"/>
        <v>#VALUE!</v>
      </c>
      <c r="BB57" t="e">
        <f t="shared" si="23"/>
        <v>#VALUE!</v>
      </c>
      <c r="BC57" t="e">
        <f t="shared" si="23"/>
        <v>#VALUE!</v>
      </c>
      <c r="BD57" t="e">
        <f t="shared" si="23"/>
        <v>#VALUE!</v>
      </c>
      <c r="BE57">
        <f t="shared" si="23"/>
        <v>1.7193333333333334</v>
      </c>
      <c r="BF57" t="e">
        <f t="shared" si="23"/>
        <v>#VALUE!</v>
      </c>
      <c r="BG57">
        <f t="shared" si="23"/>
        <v>2.9319999999999999</v>
      </c>
      <c r="BH57" t="e">
        <f t="shared" si="23"/>
        <v>#VALUE!</v>
      </c>
      <c r="BI57" t="e">
        <f t="shared" si="23"/>
        <v>#VALUE!</v>
      </c>
      <c r="BJ57" t="e">
        <f t="shared" si="23"/>
        <v>#VALUE!</v>
      </c>
      <c r="BK57">
        <f t="shared" si="23"/>
        <v>11.645666666666667</v>
      </c>
      <c r="BL57" t="e">
        <f t="shared" si="23"/>
        <v>#VALUE!</v>
      </c>
      <c r="BM57" t="e">
        <f t="shared" si="23"/>
        <v>#VALUE!</v>
      </c>
      <c r="BN57" t="e">
        <f t="shared" si="23"/>
        <v>#VALUE!</v>
      </c>
      <c r="BO57">
        <f t="shared" si="21"/>
        <v>1.5786666666666667</v>
      </c>
      <c r="BP57" t="e">
        <f t="shared" si="21"/>
        <v>#VALUE!</v>
      </c>
      <c r="BQ57" t="e">
        <f t="shared" si="21"/>
        <v>#VALUE!</v>
      </c>
      <c r="BR57" t="e">
        <f t="shared" si="21"/>
        <v>#VALUE!</v>
      </c>
      <c r="BS57" t="e">
        <f t="shared" si="21"/>
        <v>#VALUE!</v>
      </c>
      <c r="BT57" t="e">
        <f t="shared" si="21"/>
        <v>#VALUE!</v>
      </c>
      <c r="BU57">
        <f t="shared" si="21"/>
        <v>2.4246666666666665</v>
      </c>
      <c r="BV57" t="e">
        <f t="shared" si="21"/>
        <v>#VALUE!</v>
      </c>
      <c r="BW57">
        <f t="shared" si="21"/>
        <v>5.9716666666666667</v>
      </c>
      <c r="BX57" t="e">
        <f t="shared" si="21"/>
        <v>#VALUE!</v>
      </c>
      <c r="BY57" t="e">
        <f t="shared" si="21"/>
        <v>#VALUE!</v>
      </c>
      <c r="BZ57" t="e">
        <f t="shared" si="21"/>
        <v>#VALUE!</v>
      </c>
      <c r="CA57">
        <f t="shared" si="21"/>
        <v>3.2933333333333334</v>
      </c>
      <c r="CB57" t="e">
        <f t="shared" si="21"/>
        <v>#VALUE!</v>
      </c>
      <c r="CC57" t="e">
        <f t="shared" si="21"/>
        <v>#VALUE!</v>
      </c>
    </row>
    <row r="58" spans="1:81" ht="15.75" x14ac:dyDescent="0.25">
      <c r="A58" s="2" t="s">
        <v>86</v>
      </c>
      <c r="B58" t="e">
        <f t="shared" si="22"/>
        <v>#VALUE!</v>
      </c>
      <c r="C58">
        <f t="shared" si="23"/>
        <v>53.608999999999995</v>
      </c>
      <c r="D58" t="e">
        <f t="shared" si="23"/>
        <v>#VALUE!</v>
      </c>
      <c r="E58" t="e">
        <f t="shared" si="23"/>
        <v>#VALUE!</v>
      </c>
      <c r="F58" t="e">
        <f t="shared" si="23"/>
        <v>#VALUE!</v>
      </c>
      <c r="G58" t="e">
        <f t="shared" si="23"/>
        <v>#VALUE!</v>
      </c>
      <c r="H58" t="e">
        <f t="shared" si="23"/>
        <v>#VALUE!</v>
      </c>
      <c r="I58">
        <f t="shared" si="23"/>
        <v>81.586333333333329</v>
      </c>
      <c r="J58" t="e">
        <f t="shared" si="23"/>
        <v>#VALUE!</v>
      </c>
      <c r="K58" t="e">
        <f t="shared" si="23"/>
        <v>#VALUE!</v>
      </c>
      <c r="L58" t="e">
        <f t="shared" si="23"/>
        <v>#VALUE!</v>
      </c>
      <c r="M58">
        <f t="shared" si="23"/>
        <v>43.678666666666672</v>
      </c>
      <c r="N58" t="e">
        <f t="shared" si="23"/>
        <v>#VALUE!</v>
      </c>
      <c r="O58" t="e">
        <f t="shared" si="23"/>
        <v>#VALUE!</v>
      </c>
      <c r="P58" t="e">
        <f t="shared" si="23"/>
        <v>#VALUE!</v>
      </c>
      <c r="Q58">
        <f t="shared" si="23"/>
        <v>24.548333333333336</v>
      </c>
      <c r="R58" t="e">
        <f t="shared" si="23"/>
        <v>#VALUE!</v>
      </c>
      <c r="S58">
        <f t="shared" si="23"/>
        <v>88.976333333333343</v>
      </c>
      <c r="T58" t="e">
        <f t="shared" si="23"/>
        <v>#VALUE!</v>
      </c>
      <c r="U58" t="e">
        <f t="shared" si="23"/>
        <v>#VALUE!</v>
      </c>
      <c r="V58" t="e">
        <f t="shared" si="23"/>
        <v>#VALUE!</v>
      </c>
      <c r="W58">
        <f t="shared" si="23"/>
        <v>13.803000000000001</v>
      </c>
      <c r="X58" t="e">
        <f t="shared" si="23"/>
        <v>#VALUE!</v>
      </c>
      <c r="Y58" t="e">
        <f t="shared" si="23"/>
        <v>#VALUE!</v>
      </c>
      <c r="Z58" t="e">
        <f t="shared" si="23"/>
        <v>#VALUE!</v>
      </c>
      <c r="AA58">
        <f t="shared" si="23"/>
        <v>15.349666666666666</v>
      </c>
      <c r="AB58" t="e">
        <f t="shared" si="23"/>
        <v>#VALUE!</v>
      </c>
      <c r="AC58" t="e">
        <f t="shared" si="23"/>
        <v>#VALUE!</v>
      </c>
      <c r="AD58" t="e">
        <f t="shared" si="23"/>
        <v>#VALUE!</v>
      </c>
      <c r="AE58">
        <f t="shared" si="23"/>
        <v>26.672000000000001</v>
      </c>
      <c r="AF58" t="e">
        <f t="shared" si="23"/>
        <v>#VALUE!</v>
      </c>
      <c r="AG58" t="e">
        <f t="shared" si="23"/>
        <v>#VALUE!</v>
      </c>
      <c r="AH58" t="e">
        <f t="shared" si="23"/>
        <v>#VALUE!</v>
      </c>
      <c r="AI58" t="e">
        <f t="shared" si="23"/>
        <v>#VALUE!</v>
      </c>
      <c r="AJ58" t="e">
        <f t="shared" si="23"/>
        <v>#VALUE!</v>
      </c>
      <c r="AK58">
        <f t="shared" si="23"/>
        <v>24.993666666666666</v>
      </c>
      <c r="AL58" t="e">
        <f t="shared" si="23"/>
        <v>#VALUE!</v>
      </c>
      <c r="AM58" t="e">
        <f t="shared" si="23"/>
        <v>#VALUE!</v>
      </c>
      <c r="AN58" t="e">
        <f t="shared" si="23"/>
        <v>#VALUE!</v>
      </c>
      <c r="AO58" t="e">
        <f t="shared" si="23"/>
        <v>#VALUE!</v>
      </c>
      <c r="AP58" t="e">
        <f t="shared" si="23"/>
        <v>#VALUE!</v>
      </c>
      <c r="AQ58">
        <f t="shared" si="23"/>
        <v>56.769999999999996</v>
      </c>
      <c r="AR58" t="e">
        <f t="shared" si="23"/>
        <v>#VALUE!</v>
      </c>
      <c r="AS58" t="e">
        <f t="shared" si="23"/>
        <v>#VALUE!</v>
      </c>
      <c r="AT58" t="e">
        <f t="shared" si="23"/>
        <v>#VALUE!</v>
      </c>
      <c r="AU58" t="e">
        <f t="shared" si="23"/>
        <v>#VALUE!</v>
      </c>
      <c r="AV58" t="e">
        <f t="shared" si="23"/>
        <v>#VALUE!</v>
      </c>
      <c r="AW58">
        <f t="shared" si="23"/>
        <v>55.650666666666659</v>
      </c>
      <c r="AX58" t="e">
        <f t="shared" si="23"/>
        <v>#VALUE!</v>
      </c>
      <c r="AY58">
        <f t="shared" si="23"/>
        <v>104.843</v>
      </c>
      <c r="AZ58" t="e">
        <f t="shared" si="23"/>
        <v>#VALUE!</v>
      </c>
      <c r="BA58" t="e">
        <f t="shared" si="23"/>
        <v>#VALUE!</v>
      </c>
      <c r="BB58" t="e">
        <f t="shared" si="23"/>
        <v>#VALUE!</v>
      </c>
      <c r="BC58" t="e">
        <f t="shared" si="23"/>
        <v>#VALUE!</v>
      </c>
      <c r="BD58" t="e">
        <f t="shared" si="23"/>
        <v>#VALUE!</v>
      </c>
      <c r="BE58">
        <f t="shared" si="23"/>
        <v>8.2956666666666656</v>
      </c>
      <c r="BF58" t="e">
        <f t="shared" si="23"/>
        <v>#VALUE!</v>
      </c>
      <c r="BG58">
        <f t="shared" si="23"/>
        <v>30.155000000000001</v>
      </c>
      <c r="BH58" t="e">
        <f t="shared" si="23"/>
        <v>#VALUE!</v>
      </c>
      <c r="BI58" t="e">
        <f t="shared" si="23"/>
        <v>#VALUE!</v>
      </c>
      <c r="BJ58" t="e">
        <f t="shared" si="23"/>
        <v>#VALUE!</v>
      </c>
      <c r="BK58">
        <f t="shared" si="23"/>
        <v>44.615666666666662</v>
      </c>
      <c r="BL58" t="e">
        <f t="shared" si="23"/>
        <v>#VALUE!</v>
      </c>
      <c r="BM58" t="e">
        <f t="shared" si="23"/>
        <v>#VALUE!</v>
      </c>
      <c r="BN58" t="e">
        <f t="shared" si="23"/>
        <v>#VALUE!</v>
      </c>
      <c r="BO58">
        <f t="shared" si="21"/>
        <v>15.600333333333333</v>
      </c>
      <c r="BP58" t="e">
        <f t="shared" si="21"/>
        <v>#VALUE!</v>
      </c>
      <c r="BQ58" t="e">
        <f t="shared" si="21"/>
        <v>#VALUE!</v>
      </c>
      <c r="BR58" t="e">
        <f t="shared" si="21"/>
        <v>#VALUE!</v>
      </c>
      <c r="BS58" t="e">
        <f t="shared" si="21"/>
        <v>#VALUE!</v>
      </c>
      <c r="BT58" t="e">
        <f t="shared" si="21"/>
        <v>#VALUE!</v>
      </c>
      <c r="BU58">
        <f t="shared" si="21"/>
        <v>2.160333333333333</v>
      </c>
      <c r="BV58" t="e">
        <f t="shared" si="21"/>
        <v>#VALUE!</v>
      </c>
      <c r="BW58">
        <f t="shared" si="21"/>
        <v>42.988666666666667</v>
      </c>
      <c r="BX58" t="e">
        <f t="shared" si="21"/>
        <v>#VALUE!</v>
      </c>
      <c r="BY58" t="e">
        <f t="shared" si="21"/>
        <v>#VALUE!</v>
      </c>
      <c r="BZ58" t="e">
        <f t="shared" si="21"/>
        <v>#VALUE!</v>
      </c>
      <c r="CA58">
        <f t="shared" si="21"/>
        <v>15.226999999999999</v>
      </c>
      <c r="CB58" t="e">
        <f t="shared" si="21"/>
        <v>#VALUE!</v>
      </c>
      <c r="CC58" t="e">
        <f t="shared" si="21"/>
        <v>#VALUE!</v>
      </c>
    </row>
    <row r="59" spans="1:81" ht="15.75" x14ac:dyDescent="0.25">
      <c r="A59" s="2" t="s">
        <v>87</v>
      </c>
      <c r="B59" t="e">
        <f t="shared" si="22"/>
        <v>#VALUE!</v>
      </c>
      <c r="C59">
        <f t="shared" si="23"/>
        <v>3.1739999999999999</v>
      </c>
      <c r="D59" t="e">
        <f t="shared" si="23"/>
        <v>#VALUE!</v>
      </c>
      <c r="E59" t="e">
        <f t="shared" si="23"/>
        <v>#VALUE!</v>
      </c>
      <c r="F59" t="e">
        <f t="shared" si="23"/>
        <v>#VALUE!</v>
      </c>
      <c r="G59" t="e">
        <f t="shared" si="23"/>
        <v>#VALUE!</v>
      </c>
      <c r="H59" t="e">
        <f t="shared" si="23"/>
        <v>#VALUE!</v>
      </c>
      <c r="I59">
        <f t="shared" si="23"/>
        <v>7.3166666666666664</v>
      </c>
      <c r="J59" t="e">
        <f t="shared" si="23"/>
        <v>#VALUE!</v>
      </c>
      <c r="K59" t="e">
        <f t="shared" si="23"/>
        <v>#VALUE!</v>
      </c>
      <c r="L59" t="e">
        <f t="shared" si="23"/>
        <v>#VALUE!</v>
      </c>
      <c r="M59">
        <f t="shared" si="23"/>
        <v>4.4116666666666671</v>
      </c>
      <c r="N59" t="e">
        <f t="shared" si="23"/>
        <v>#VALUE!</v>
      </c>
      <c r="O59" t="e">
        <f t="shared" si="23"/>
        <v>#VALUE!</v>
      </c>
      <c r="P59" t="e">
        <f t="shared" si="23"/>
        <v>#VALUE!</v>
      </c>
      <c r="Q59">
        <f t="shared" si="23"/>
        <v>2.0770000000000004</v>
      </c>
      <c r="R59" t="e">
        <f t="shared" si="23"/>
        <v>#VALUE!</v>
      </c>
      <c r="S59">
        <f t="shared" si="23"/>
        <v>8.9039999999999999</v>
      </c>
      <c r="T59" t="e">
        <f t="shared" si="23"/>
        <v>#VALUE!</v>
      </c>
      <c r="U59" t="e">
        <f t="shared" si="23"/>
        <v>#VALUE!</v>
      </c>
      <c r="V59" t="e">
        <f t="shared" si="23"/>
        <v>#VALUE!</v>
      </c>
      <c r="W59">
        <f t="shared" si="23"/>
        <v>1.4166666666666667</v>
      </c>
      <c r="X59" t="e">
        <f t="shared" si="23"/>
        <v>#VALUE!</v>
      </c>
      <c r="Y59" t="e">
        <f t="shared" si="23"/>
        <v>#VALUE!</v>
      </c>
      <c r="Z59" t="e">
        <f t="shared" si="23"/>
        <v>#VALUE!</v>
      </c>
      <c r="AA59">
        <f t="shared" si="23"/>
        <v>1.1703333333333334</v>
      </c>
      <c r="AB59" t="e">
        <f t="shared" si="23"/>
        <v>#VALUE!</v>
      </c>
      <c r="AC59" t="e">
        <f t="shared" si="23"/>
        <v>#VALUE!</v>
      </c>
      <c r="AD59" t="e">
        <f t="shared" si="23"/>
        <v>#VALUE!</v>
      </c>
      <c r="AE59">
        <f t="shared" si="23"/>
        <v>6.458333333333333</v>
      </c>
      <c r="AF59" t="e">
        <f t="shared" si="23"/>
        <v>#VALUE!</v>
      </c>
      <c r="AG59" t="e">
        <f t="shared" si="23"/>
        <v>#VALUE!</v>
      </c>
      <c r="AH59" t="e">
        <f t="shared" si="23"/>
        <v>#VALUE!</v>
      </c>
      <c r="AI59" t="e">
        <f t="shared" si="23"/>
        <v>#VALUE!</v>
      </c>
      <c r="AJ59" t="e">
        <f t="shared" si="23"/>
        <v>#VALUE!</v>
      </c>
      <c r="AK59">
        <f t="shared" si="23"/>
        <v>2.5430000000000001</v>
      </c>
      <c r="AL59">
        <f t="shared" si="23"/>
        <v>0.67</v>
      </c>
      <c r="AM59">
        <f t="shared" si="23"/>
        <v>0.49233333333333335</v>
      </c>
      <c r="AN59">
        <f t="shared" si="23"/>
        <v>1.3896666666666666</v>
      </c>
      <c r="AO59" t="e">
        <f t="shared" si="23"/>
        <v>#VALUE!</v>
      </c>
      <c r="AP59" t="e">
        <f t="shared" si="23"/>
        <v>#VALUE!</v>
      </c>
      <c r="AQ59">
        <f t="shared" si="23"/>
        <v>5.8973333333333331</v>
      </c>
      <c r="AR59" t="e">
        <f t="shared" si="23"/>
        <v>#VALUE!</v>
      </c>
      <c r="AS59" t="e">
        <f t="shared" si="23"/>
        <v>#VALUE!</v>
      </c>
      <c r="AT59" t="e">
        <f t="shared" si="23"/>
        <v>#VALUE!</v>
      </c>
      <c r="AU59" t="e">
        <f t="shared" si="23"/>
        <v>#VALUE!</v>
      </c>
      <c r="AV59" t="e">
        <f t="shared" si="23"/>
        <v>#VALUE!</v>
      </c>
      <c r="AW59">
        <f t="shared" si="23"/>
        <v>6.1526666666666667</v>
      </c>
      <c r="AX59" t="e">
        <f t="shared" si="23"/>
        <v>#VALUE!</v>
      </c>
      <c r="AY59">
        <f t="shared" si="23"/>
        <v>5.0723333333333329</v>
      </c>
      <c r="AZ59" t="e">
        <f t="shared" si="23"/>
        <v>#VALUE!</v>
      </c>
      <c r="BA59" t="e">
        <f t="shared" si="23"/>
        <v>#VALUE!</v>
      </c>
      <c r="BB59" t="e">
        <f t="shared" si="23"/>
        <v>#VALUE!</v>
      </c>
      <c r="BC59" t="e">
        <f t="shared" si="23"/>
        <v>#VALUE!</v>
      </c>
      <c r="BD59" t="e">
        <f t="shared" si="23"/>
        <v>#VALUE!</v>
      </c>
      <c r="BE59">
        <f t="shared" si="23"/>
        <v>0.77399999999999991</v>
      </c>
      <c r="BF59" t="e">
        <f t="shared" si="23"/>
        <v>#VALUE!</v>
      </c>
      <c r="BG59">
        <f t="shared" si="23"/>
        <v>3.2376666666666667</v>
      </c>
      <c r="BH59" t="e">
        <f t="shared" si="23"/>
        <v>#VALUE!</v>
      </c>
      <c r="BI59" t="e">
        <f t="shared" si="23"/>
        <v>#VALUE!</v>
      </c>
      <c r="BJ59" t="e">
        <f t="shared" si="23"/>
        <v>#VALUE!</v>
      </c>
      <c r="BK59">
        <f t="shared" si="23"/>
        <v>5.7776666666666667</v>
      </c>
      <c r="BL59" t="e">
        <f t="shared" si="23"/>
        <v>#VALUE!</v>
      </c>
      <c r="BM59" t="e">
        <f t="shared" si="23"/>
        <v>#VALUE!</v>
      </c>
      <c r="BN59" t="e">
        <f t="shared" si="23"/>
        <v>#VALUE!</v>
      </c>
      <c r="BO59">
        <f t="shared" si="21"/>
        <v>1.2953333333333334</v>
      </c>
      <c r="BP59" t="e">
        <f t="shared" si="21"/>
        <v>#VALUE!</v>
      </c>
      <c r="BQ59" t="e">
        <f t="shared" si="21"/>
        <v>#VALUE!</v>
      </c>
      <c r="BR59" t="e">
        <f t="shared" si="21"/>
        <v>#VALUE!</v>
      </c>
      <c r="BS59" t="e">
        <f t="shared" si="21"/>
        <v>#VALUE!</v>
      </c>
      <c r="BT59" t="e">
        <f t="shared" si="21"/>
        <v>#VALUE!</v>
      </c>
      <c r="BU59">
        <f t="shared" si="21"/>
        <v>2.7810000000000001</v>
      </c>
      <c r="BV59" t="e">
        <f t="shared" si="21"/>
        <v>#VALUE!</v>
      </c>
      <c r="BW59">
        <f t="shared" si="21"/>
        <v>2.9363333333333337</v>
      </c>
      <c r="BX59" t="e">
        <f t="shared" si="21"/>
        <v>#VALUE!</v>
      </c>
      <c r="BY59" t="e">
        <f t="shared" si="21"/>
        <v>#VALUE!</v>
      </c>
      <c r="BZ59" t="e">
        <f t="shared" si="21"/>
        <v>#VALUE!</v>
      </c>
      <c r="CA59">
        <f t="shared" si="21"/>
        <v>2.1389999999999998</v>
      </c>
      <c r="CB59" t="e">
        <f t="shared" si="21"/>
        <v>#VALUE!</v>
      </c>
      <c r="CC59" t="e">
        <f t="shared" si="21"/>
        <v>#VALUE!</v>
      </c>
    </row>
    <row r="60" spans="1:81" ht="15.75" x14ac:dyDescent="0.25">
      <c r="A60" s="2" t="s">
        <v>88</v>
      </c>
      <c r="B60" t="e">
        <f t="shared" si="22"/>
        <v>#VALUE!</v>
      </c>
      <c r="C60">
        <f t="shared" si="23"/>
        <v>0.155</v>
      </c>
      <c r="D60">
        <f t="shared" si="23"/>
        <v>0.24633333333333332</v>
      </c>
      <c r="E60">
        <f t="shared" si="23"/>
        <v>0.26600000000000001</v>
      </c>
      <c r="F60">
        <f t="shared" si="23"/>
        <v>5.4000000000000006E-2</v>
      </c>
      <c r="G60">
        <f t="shared" si="23"/>
        <v>8.8333333333333333E-2</v>
      </c>
      <c r="H60">
        <f t="shared" si="23"/>
        <v>0.16233333333333333</v>
      </c>
      <c r="I60" t="e">
        <f t="shared" si="23"/>
        <v>#VALUE!</v>
      </c>
      <c r="J60">
        <f t="shared" si="23"/>
        <v>0.46566666666666667</v>
      </c>
      <c r="K60">
        <f t="shared" si="23"/>
        <v>0.24966666666666665</v>
      </c>
      <c r="L60">
        <f t="shared" si="23"/>
        <v>0.25333333333333335</v>
      </c>
      <c r="M60" t="e">
        <f t="shared" si="23"/>
        <v>#VALUE!</v>
      </c>
      <c r="N60" t="e">
        <f t="shared" si="23"/>
        <v>#VALUE!</v>
      </c>
      <c r="O60" t="e">
        <f t="shared" si="23"/>
        <v>#VALUE!</v>
      </c>
      <c r="P60" t="e">
        <f t="shared" si="23"/>
        <v>#VALUE!</v>
      </c>
      <c r="Q60" t="e">
        <f t="shared" si="23"/>
        <v>#VALUE!</v>
      </c>
      <c r="R60" t="e">
        <f t="shared" si="23"/>
        <v>#VALUE!</v>
      </c>
      <c r="S60" t="e">
        <f t="shared" si="23"/>
        <v>#VALUE!</v>
      </c>
      <c r="T60" t="e">
        <f t="shared" si="23"/>
        <v>#VALUE!</v>
      </c>
      <c r="U60" t="e">
        <f t="shared" si="23"/>
        <v>#VALUE!</v>
      </c>
      <c r="V60">
        <f t="shared" si="23"/>
        <v>0.72933333333333328</v>
      </c>
      <c r="W60">
        <f t="shared" si="23"/>
        <v>0.50366666666666671</v>
      </c>
      <c r="X60">
        <f t="shared" si="23"/>
        <v>0.52833333333333332</v>
      </c>
      <c r="Y60">
        <f t="shared" si="23"/>
        <v>0.65400000000000003</v>
      </c>
      <c r="Z60">
        <f t="shared" si="23"/>
        <v>0.25433333333333336</v>
      </c>
      <c r="AA60" t="e">
        <f t="shared" si="23"/>
        <v>#VALUE!</v>
      </c>
      <c r="AB60">
        <f t="shared" si="23"/>
        <v>0.308</v>
      </c>
      <c r="AC60">
        <f t="shared" si="23"/>
        <v>0.28166666666666668</v>
      </c>
      <c r="AD60" t="e">
        <f t="shared" si="23"/>
        <v>#VALUE!</v>
      </c>
      <c r="AE60" t="e">
        <f t="shared" si="23"/>
        <v>#VALUE!</v>
      </c>
      <c r="AF60" t="e">
        <f t="shared" si="23"/>
        <v>#VALUE!</v>
      </c>
      <c r="AG60" t="e">
        <f t="shared" si="23"/>
        <v>#VALUE!</v>
      </c>
      <c r="AH60" t="e">
        <f t="shared" si="23"/>
        <v>#VALUE!</v>
      </c>
      <c r="AI60" t="e">
        <f t="shared" si="23"/>
        <v>#VALUE!</v>
      </c>
      <c r="AJ60" t="e">
        <f t="shared" si="23"/>
        <v>#VALUE!</v>
      </c>
      <c r="AK60">
        <f t="shared" si="23"/>
        <v>16.019333333333332</v>
      </c>
      <c r="AL60" t="e">
        <f t="shared" si="23"/>
        <v>#VALUE!</v>
      </c>
      <c r="AM60" t="e">
        <f t="shared" si="23"/>
        <v>#VALUE!</v>
      </c>
      <c r="AN60" t="e">
        <f t="shared" si="23"/>
        <v>#VALUE!</v>
      </c>
      <c r="AO60" t="e">
        <f t="shared" si="23"/>
        <v>#VALUE!</v>
      </c>
      <c r="AP60" t="e">
        <f t="shared" si="23"/>
        <v>#VALUE!</v>
      </c>
      <c r="AQ60" t="e">
        <f t="shared" si="23"/>
        <v>#VALUE!</v>
      </c>
      <c r="AR60" t="e">
        <f t="shared" si="23"/>
        <v>#VALUE!</v>
      </c>
      <c r="AS60" t="e">
        <f t="shared" si="23"/>
        <v>#VALUE!</v>
      </c>
      <c r="AT60" t="e">
        <f t="shared" si="23"/>
        <v>#VALUE!</v>
      </c>
      <c r="AU60" t="e">
        <f t="shared" si="23"/>
        <v>#VALUE!</v>
      </c>
      <c r="AV60" t="e">
        <f t="shared" si="23"/>
        <v>#VALUE!</v>
      </c>
      <c r="AW60" t="e">
        <f t="shared" si="23"/>
        <v>#VALUE!</v>
      </c>
      <c r="AX60" t="e">
        <f t="shared" si="23"/>
        <v>#VALUE!</v>
      </c>
      <c r="AY60" t="e">
        <f t="shared" si="23"/>
        <v>#VALUE!</v>
      </c>
      <c r="AZ60" t="e">
        <f t="shared" si="23"/>
        <v>#VALUE!</v>
      </c>
      <c r="BA60" t="e">
        <f t="shared" si="23"/>
        <v>#VALUE!</v>
      </c>
      <c r="BB60" t="e">
        <f t="shared" si="23"/>
        <v>#VALUE!</v>
      </c>
      <c r="BC60" t="e">
        <f t="shared" si="23"/>
        <v>#VALUE!</v>
      </c>
      <c r="BD60" t="e">
        <f t="shared" si="23"/>
        <v>#VALUE!</v>
      </c>
      <c r="BE60" t="e">
        <f t="shared" si="23"/>
        <v>#VALUE!</v>
      </c>
      <c r="BF60" t="e">
        <f t="shared" si="23"/>
        <v>#VALUE!</v>
      </c>
      <c r="BG60" t="e">
        <f t="shared" si="23"/>
        <v>#VALUE!</v>
      </c>
      <c r="BH60" t="e">
        <f t="shared" si="23"/>
        <v>#VALUE!</v>
      </c>
      <c r="BI60" t="e">
        <f t="shared" si="23"/>
        <v>#VALUE!</v>
      </c>
      <c r="BJ60" t="e">
        <f t="shared" si="23"/>
        <v>#VALUE!</v>
      </c>
      <c r="BK60">
        <f t="shared" si="23"/>
        <v>0</v>
      </c>
      <c r="BL60" t="e">
        <f t="shared" si="23"/>
        <v>#VALUE!</v>
      </c>
      <c r="BM60" t="e">
        <f t="shared" si="23"/>
        <v>#VALUE!</v>
      </c>
      <c r="BN60" t="e">
        <f t="shared" ref="BN60:CC63" si="24">+BN43*1000</f>
        <v>#VALUE!</v>
      </c>
      <c r="BO60">
        <f t="shared" si="24"/>
        <v>0</v>
      </c>
      <c r="BP60" t="e">
        <f t="shared" si="24"/>
        <v>#VALUE!</v>
      </c>
      <c r="BQ60" t="e">
        <f t="shared" si="24"/>
        <v>#VALUE!</v>
      </c>
      <c r="BR60" t="e">
        <f t="shared" si="24"/>
        <v>#VALUE!</v>
      </c>
      <c r="BS60" t="e">
        <f t="shared" si="24"/>
        <v>#VALUE!</v>
      </c>
      <c r="BT60" t="e">
        <f t="shared" si="24"/>
        <v>#VALUE!</v>
      </c>
      <c r="BU60">
        <f t="shared" si="24"/>
        <v>0</v>
      </c>
      <c r="BV60" t="e">
        <f t="shared" si="24"/>
        <v>#VALUE!</v>
      </c>
      <c r="BW60">
        <f t="shared" si="24"/>
        <v>0</v>
      </c>
      <c r="BX60" t="e">
        <f t="shared" si="24"/>
        <v>#VALUE!</v>
      </c>
      <c r="BY60" t="e">
        <f t="shared" si="24"/>
        <v>#VALUE!</v>
      </c>
      <c r="BZ60">
        <f t="shared" si="24"/>
        <v>0.26133333333333331</v>
      </c>
      <c r="CA60">
        <f t="shared" si="24"/>
        <v>0.379</v>
      </c>
      <c r="CB60" t="e">
        <f t="shared" si="24"/>
        <v>#VALUE!</v>
      </c>
      <c r="CC60">
        <f t="shared" si="24"/>
        <v>0.11333333333333334</v>
      </c>
    </row>
    <row r="61" spans="1:81" ht="15.75" x14ac:dyDescent="0.25">
      <c r="A61" s="2" t="s">
        <v>89</v>
      </c>
      <c r="B61" t="e">
        <f t="shared" si="22"/>
        <v>#VALUE!</v>
      </c>
      <c r="C61">
        <f t="shared" ref="C61:BN64" si="25">+C44*1000</f>
        <v>2.7663333333333338</v>
      </c>
      <c r="D61" t="e">
        <f t="shared" si="25"/>
        <v>#VALUE!</v>
      </c>
      <c r="E61" t="e">
        <f t="shared" si="25"/>
        <v>#VALUE!</v>
      </c>
      <c r="F61" t="e">
        <f t="shared" si="25"/>
        <v>#VALUE!</v>
      </c>
      <c r="G61" t="e">
        <f t="shared" si="25"/>
        <v>#VALUE!</v>
      </c>
      <c r="H61" t="e">
        <f t="shared" si="25"/>
        <v>#VALUE!</v>
      </c>
      <c r="I61">
        <f t="shared" si="25"/>
        <v>49.802000000000007</v>
      </c>
      <c r="J61" t="e">
        <f t="shared" si="25"/>
        <v>#VALUE!</v>
      </c>
      <c r="K61" t="e">
        <f t="shared" si="25"/>
        <v>#VALUE!</v>
      </c>
      <c r="L61" t="e">
        <f t="shared" si="25"/>
        <v>#VALUE!</v>
      </c>
      <c r="M61">
        <f t="shared" si="25"/>
        <v>27.648000000000003</v>
      </c>
      <c r="N61" t="e">
        <f t="shared" si="25"/>
        <v>#VALUE!</v>
      </c>
      <c r="O61" t="e">
        <f t="shared" si="25"/>
        <v>#VALUE!</v>
      </c>
      <c r="P61" t="e">
        <f t="shared" si="25"/>
        <v>#VALUE!</v>
      </c>
      <c r="Q61">
        <f t="shared" si="25"/>
        <v>14.793333333333333</v>
      </c>
      <c r="R61" t="e">
        <f t="shared" si="25"/>
        <v>#VALUE!</v>
      </c>
      <c r="S61">
        <f t="shared" si="25"/>
        <v>47.035000000000004</v>
      </c>
      <c r="T61" t="e">
        <f t="shared" si="25"/>
        <v>#VALUE!</v>
      </c>
      <c r="U61" t="e">
        <f t="shared" si="25"/>
        <v>#VALUE!</v>
      </c>
      <c r="V61" t="e">
        <f t="shared" si="25"/>
        <v>#VALUE!</v>
      </c>
      <c r="W61">
        <f t="shared" si="25"/>
        <v>9.2293333333333347</v>
      </c>
      <c r="X61" t="e">
        <f t="shared" si="25"/>
        <v>#VALUE!</v>
      </c>
      <c r="Y61" t="e">
        <f t="shared" si="25"/>
        <v>#VALUE!</v>
      </c>
      <c r="Z61" t="e">
        <f t="shared" si="25"/>
        <v>#VALUE!</v>
      </c>
      <c r="AA61">
        <f t="shared" si="25"/>
        <v>9.1013333333333328</v>
      </c>
      <c r="AB61" t="e">
        <f t="shared" si="25"/>
        <v>#VALUE!</v>
      </c>
      <c r="AC61" t="e">
        <f t="shared" si="25"/>
        <v>#VALUE!</v>
      </c>
      <c r="AD61">
        <f t="shared" si="25"/>
        <v>0</v>
      </c>
      <c r="AE61">
        <f t="shared" si="25"/>
        <v>26.470333333333333</v>
      </c>
      <c r="AF61">
        <f t="shared" si="25"/>
        <v>0</v>
      </c>
      <c r="AG61">
        <f t="shared" si="25"/>
        <v>0</v>
      </c>
      <c r="AH61">
        <f t="shared" si="25"/>
        <v>0.80766666666666664</v>
      </c>
      <c r="AI61">
        <f t="shared" si="25"/>
        <v>1.2766666666666666</v>
      </c>
      <c r="AJ61">
        <f t="shared" si="25"/>
        <v>0.70766666666666667</v>
      </c>
      <c r="AK61" t="e">
        <f t="shared" si="25"/>
        <v>#VALUE!</v>
      </c>
      <c r="AL61" t="e">
        <f t="shared" si="25"/>
        <v>#VALUE!</v>
      </c>
      <c r="AM61" t="e">
        <f t="shared" si="25"/>
        <v>#VALUE!</v>
      </c>
      <c r="AN61" t="e">
        <f t="shared" si="25"/>
        <v>#VALUE!</v>
      </c>
      <c r="AO61">
        <f t="shared" si="25"/>
        <v>0.44566666666666671</v>
      </c>
      <c r="AP61" t="e">
        <f t="shared" si="25"/>
        <v>#VALUE!</v>
      </c>
      <c r="AQ61">
        <f t="shared" si="25"/>
        <v>33.489333333333335</v>
      </c>
      <c r="AR61" t="e">
        <f t="shared" si="25"/>
        <v>#VALUE!</v>
      </c>
      <c r="AS61" t="e">
        <f t="shared" si="25"/>
        <v>#VALUE!</v>
      </c>
      <c r="AT61" t="e">
        <f t="shared" si="25"/>
        <v>#VALUE!</v>
      </c>
      <c r="AU61" t="e">
        <f t="shared" si="25"/>
        <v>#VALUE!</v>
      </c>
      <c r="AV61" t="e">
        <f t="shared" si="25"/>
        <v>#VALUE!</v>
      </c>
      <c r="AW61">
        <f t="shared" si="25"/>
        <v>26.870333333333331</v>
      </c>
      <c r="AX61" t="e">
        <f t="shared" si="25"/>
        <v>#VALUE!</v>
      </c>
      <c r="AY61">
        <f t="shared" si="25"/>
        <v>49.836666666666666</v>
      </c>
      <c r="AZ61" t="e">
        <f t="shared" si="25"/>
        <v>#VALUE!</v>
      </c>
      <c r="BA61" t="e">
        <f t="shared" si="25"/>
        <v>#VALUE!</v>
      </c>
      <c r="BB61" t="e">
        <f t="shared" si="25"/>
        <v>#VALUE!</v>
      </c>
      <c r="BC61" t="e">
        <f t="shared" si="25"/>
        <v>#VALUE!</v>
      </c>
      <c r="BD61" t="e">
        <f t="shared" si="25"/>
        <v>#VALUE!</v>
      </c>
      <c r="BE61">
        <f t="shared" si="25"/>
        <v>4.9883333333333333</v>
      </c>
      <c r="BF61" t="e">
        <f t="shared" si="25"/>
        <v>#VALUE!</v>
      </c>
      <c r="BG61">
        <f t="shared" si="25"/>
        <v>17.379333333333335</v>
      </c>
      <c r="BH61" t="e">
        <f t="shared" si="25"/>
        <v>#VALUE!</v>
      </c>
      <c r="BI61" t="e">
        <f t="shared" si="25"/>
        <v>#VALUE!</v>
      </c>
      <c r="BJ61" t="e">
        <f t="shared" si="25"/>
        <v>#VALUE!</v>
      </c>
      <c r="BK61">
        <f t="shared" si="25"/>
        <v>31.940000000000005</v>
      </c>
      <c r="BL61" t="e">
        <f t="shared" si="25"/>
        <v>#VALUE!</v>
      </c>
      <c r="BM61" t="e">
        <f t="shared" si="25"/>
        <v>#VALUE!</v>
      </c>
      <c r="BN61" t="e">
        <f t="shared" si="25"/>
        <v>#VALUE!</v>
      </c>
      <c r="BO61">
        <f t="shared" si="24"/>
        <v>9.1283333333333339</v>
      </c>
      <c r="BP61" t="e">
        <f t="shared" si="24"/>
        <v>#VALUE!</v>
      </c>
      <c r="BQ61" t="e">
        <f t="shared" si="24"/>
        <v>#VALUE!</v>
      </c>
      <c r="BR61" t="e">
        <f t="shared" si="24"/>
        <v>#VALUE!</v>
      </c>
      <c r="BS61" t="e">
        <f t="shared" si="24"/>
        <v>#VALUE!</v>
      </c>
      <c r="BT61" t="e">
        <f t="shared" si="24"/>
        <v>#VALUE!</v>
      </c>
      <c r="BU61">
        <f t="shared" si="24"/>
        <v>13.907666666666668</v>
      </c>
      <c r="BV61" t="e">
        <f t="shared" si="24"/>
        <v>#VALUE!</v>
      </c>
      <c r="BW61">
        <f t="shared" si="24"/>
        <v>21.838000000000001</v>
      </c>
      <c r="BX61" t="e">
        <f t="shared" si="24"/>
        <v>#VALUE!</v>
      </c>
      <c r="BY61" t="e">
        <f t="shared" si="24"/>
        <v>#VALUE!</v>
      </c>
      <c r="BZ61" t="e">
        <f t="shared" si="24"/>
        <v>#VALUE!</v>
      </c>
      <c r="CA61">
        <f t="shared" si="24"/>
        <v>13.081666666666667</v>
      </c>
      <c r="CB61" t="e">
        <f t="shared" si="24"/>
        <v>#VALUE!</v>
      </c>
      <c r="CC61" t="e">
        <f t="shared" si="24"/>
        <v>#VALUE!</v>
      </c>
    </row>
    <row r="62" spans="1:81" ht="15.75" x14ac:dyDescent="0.25">
      <c r="A62" s="2" t="s">
        <v>90</v>
      </c>
      <c r="B62">
        <f t="shared" si="22"/>
        <v>0.57533333333333336</v>
      </c>
      <c r="C62">
        <f t="shared" si="25"/>
        <v>0.66766666666666663</v>
      </c>
      <c r="D62">
        <f t="shared" si="25"/>
        <v>1.0679999999999998</v>
      </c>
      <c r="E62">
        <f t="shared" si="25"/>
        <v>0.78933333333333333</v>
      </c>
      <c r="F62">
        <f t="shared" si="25"/>
        <v>2.492666666666667</v>
      </c>
      <c r="G62">
        <f t="shared" si="25"/>
        <v>2.543333333333333</v>
      </c>
      <c r="H62">
        <f t="shared" si="25"/>
        <v>1.8280000000000001</v>
      </c>
      <c r="I62">
        <f t="shared" si="25"/>
        <v>1.9743333333333335</v>
      </c>
      <c r="J62">
        <f t="shared" si="25"/>
        <v>0.92800000000000005</v>
      </c>
      <c r="K62">
        <f t="shared" si="25"/>
        <v>2.8</v>
      </c>
      <c r="L62">
        <f t="shared" si="25"/>
        <v>2.8276666666666661</v>
      </c>
      <c r="M62">
        <f t="shared" si="25"/>
        <v>1.4326666666666665</v>
      </c>
      <c r="N62">
        <f t="shared" si="25"/>
        <v>1.3386666666666667</v>
      </c>
      <c r="O62">
        <f t="shared" si="25"/>
        <v>1.3646666666666669</v>
      </c>
      <c r="P62">
        <f t="shared" si="25"/>
        <v>2.6310000000000002</v>
      </c>
      <c r="Q62">
        <f t="shared" si="25"/>
        <v>3.8536666666666668</v>
      </c>
      <c r="R62">
        <f t="shared" si="25"/>
        <v>0.77100000000000002</v>
      </c>
      <c r="S62">
        <f t="shared" si="25"/>
        <v>2.831666666666667</v>
      </c>
      <c r="T62">
        <f t="shared" si="25"/>
        <v>0.40933333333333333</v>
      </c>
      <c r="U62">
        <f t="shared" si="25"/>
        <v>0.5013333333333333</v>
      </c>
      <c r="V62">
        <f t="shared" si="25"/>
        <v>0.28066666666666662</v>
      </c>
      <c r="W62">
        <f t="shared" si="25"/>
        <v>0.52400000000000002</v>
      </c>
      <c r="X62">
        <f t="shared" si="25"/>
        <v>0.56633333333333324</v>
      </c>
      <c r="Y62">
        <f t="shared" si="25"/>
        <v>0.27333333333333332</v>
      </c>
      <c r="Z62">
        <f t="shared" si="25"/>
        <v>0.43866666666666665</v>
      </c>
      <c r="AA62">
        <f t="shared" si="25"/>
        <v>0.18500000000000003</v>
      </c>
      <c r="AB62">
        <f t="shared" si="25"/>
        <v>0.73933333333333329</v>
      </c>
      <c r="AC62">
        <f t="shared" si="25"/>
        <v>1.7926666666666666</v>
      </c>
      <c r="AD62">
        <f t="shared" si="25"/>
        <v>2.2346666666666666</v>
      </c>
      <c r="AE62">
        <f t="shared" si="25"/>
        <v>3.556</v>
      </c>
      <c r="AF62">
        <f t="shared" si="25"/>
        <v>1.7656666666666665</v>
      </c>
      <c r="AG62">
        <f t="shared" si="25"/>
        <v>1.907</v>
      </c>
      <c r="AH62">
        <f t="shared" si="25"/>
        <v>2.8593333333333337</v>
      </c>
      <c r="AI62">
        <f t="shared" si="25"/>
        <v>1.4600000000000002</v>
      </c>
      <c r="AJ62">
        <f t="shared" si="25"/>
        <v>2.5039999999999996</v>
      </c>
      <c r="AK62">
        <f t="shared" si="25"/>
        <v>0.69166666666666676</v>
      </c>
      <c r="AL62">
        <f t="shared" si="25"/>
        <v>2.0599999999999996</v>
      </c>
      <c r="AM62">
        <f t="shared" si="25"/>
        <v>1.1686666666666665</v>
      </c>
      <c r="AN62">
        <f t="shared" si="25"/>
        <v>3.3759999999999999</v>
      </c>
      <c r="AO62">
        <f t="shared" si="25"/>
        <v>0.8683333333333334</v>
      </c>
      <c r="AP62">
        <f t="shared" si="25"/>
        <v>1.4390000000000001</v>
      </c>
      <c r="AQ62">
        <f t="shared" si="25"/>
        <v>4.2353333333333332</v>
      </c>
      <c r="AR62">
        <f t="shared" si="25"/>
        <v>3.0173333333333332</v>
      </c>
      <c r="AS62">
        <f t="shared" si="25"/>
        <v>1.5946666666666667</v>
      </c>
      <c r="AT62">
        <f t="shared" si="25"/>
        <v>2.5473333333333334</v>
      </c>
      <c r="AU62">
        <f t="shared" si="25"/>
        <v>0.81366666666666665</v>
      </c>
      <c r="AV62">
        <f t="shared" si="25"/>
        <v>0.77266666666666672</v>
      </c>
      <c r="AW62">
        <f t="shared" si="25"/>
        <v>0.5053333333333333</v>
      </c>
      <c r="AX62">
        <f t="shared" si="25"/>
        <v>2.1773333333333333</v>
      </c>
      <c r="AY62">
        <f t="shared" si="25"/>
        <v>0.43433333333333329</v>
      </c>
      <c r="AZ62">
        <f t="shared" si="25"/>
        <v>2.4086666666666665</v>
      </c>
      <c r="BA62">
        <f t="shared" si="25"/>
        <v>2.9966666666666666</v>
      </c>
      <c r="BB62">
        <f t="shared" si="25"/>
        <v>3.8703333333333334</v>
      </c>
      <c r="BC62">
        <f t="shared" si="25"/>
        <v>1.3763333333333334</v>
      </c>
      <c r="BD62">
        <f t="shared" si="25"/>
        <v>3.0866666666666664</v>
      </c>
      <c r="BE62">
        <f t="shared" si="25"/>
        <v>2.5363333333333338</v>
      </c>
      <c r="BF62">
        <f t="shared" si="25"/>
        <v>1.8816666666666666</v>
      </c>
      <c r="BG62">
        <f t="shared" si="25"/>
        <v>2.57</v>
      </c>
      <c r="BH62">
        <f t="shared" si="25"/>
        <v>2.1193333333333335</v>
      </c>
      <c r="BI62">
        <f t="shared" si="25"/>
        <v>2.2633333333333332</v>
      </c>
      <c r="BJ62">
        <f t="shared" si="25"/>
        <v>3.1276666666666673</v>
      </c>
      <c r="BK62">
        <f t="shared" si="25"/>
        <v>2.1819999999999999</v>
      </c>
      <c r="BL62">
        <f t="shared" si="25"/>
        <v>2.6036666666666668</v>
      </c>
      <c r="BM62">
        <f t="shared" si="25"/>
        <v>1.587</v>
      </c>
      <c r="BN62">
        <f t="shared" si="25"/>
        <v>1.2229999999999999</v>
      </c>
      <c r="BO62">
        <f t="shared" si="24"/>
        <v>0.69433333333333336</v>
      </c>
      <c r="BP62">
        <f t="shared" si="24"/>
        <v>1.5876666666666668</v>
      </c>
      <c r="BQ62">
        <f t="shared" si="24"/>
        <v>1.2066666666666666</v>
      </c>
      <c r="BR62" t="e">
        <f t="shared" si="24"/>
        <v>#VALUE!</v>
      </c>
      <c r="BS62" t="e">
        <f t="shared" si="24"/>
        <v>#VALUE!</v>
      </c>
      <c r="BT62" t="e">
        <f t="shared" si="24"/>
        <v>#VALUE!</v>
      </c>
      <c r="BU62" t="e">
        <f t="shared" si="24"/>
        <v>#VALUE!</v>
      </c>
      <c r="BV62">
        <f t="shared" si="24"/>
        <v>1.2650000000000001</v>
      </c>
      <c r="BW62">
        <f t="shared" si="24"/>
        <v>1.1766666666666667</v>
      </c>
      <c r="BX62">
        <f t="shared" si="24"/>
        <v>1.3979999999999999</v>
      </c>
      <c r="BY62">
        <f t="shared" si="24"/>
        <v>1.4673333333333334</v>
      </c>
      <c r="BZ62">
        <f t="shared" si="24"/>
        <v>1.9943333333333333</v>
      </c>
      <c r="CA62">
        <f t="shared" si="24"/>
        <v>1.135</v>
      </c>
      <c r="CB62">
        <f t="shared" si="24"/>
        <v>3.6729999999999996</v>
      </c>
      <c r="CC62">
        <f t="shared" si="24"/>
        <v>3.0696666666666665</v>
      </c>
    </row>
    <row r="63" spans="1:81" ht="15.75" x14ac:dyDescent="0.25">
      <c r="A63" s="2" t="s">
        <v>91</v>
      </c>
      <c r="B63">
        <f t="shared" si="22"/>
        <v>1.7796666666666665</v>
      </c>
      <c r="C63">
        <f t="shared" si="25"/>
        <v>1.7756666666666667</v>
      </c>
      <c r="D63">
        <f t="shared" si="25"/>
        <v>1.3120000000000001</v>
      </c>
      <c r="E63">
        <f t="shared" si="25"/>
        <v>1.2450000000000001</v>
      </c>
      <c r="F63">
        <f t="shared" si="25"/>
        <v>16.531333333333333</v>
      </c>
      <c r="G63">
        <f t="shared" si="25"/>
        <v>4.3356666666666666</v>
      </c>
      <c r="H63">
        <f t="shared" si="25"/>
        <v>8.5343333333333327</v>
      </c>
      <c r="I63">
        <f t="shared" si="25"/>
        <v>28.289666666666669</v>
      </c>
      <c r="J63">
        <f t="shared" si="25"/>
        <v>1.8000000000000003</v>
      </c>
      <c r="K63">
        <f t="shared" si="25"/>
        <v>3.2723333333333331</v>
      </c>
      <c r="L63">
        <f t="shared" si="25"/>
        <v>2.8716666666666666</v>
      </c>
      <c r="M63">
        <f t="shared" si="25"/>
        <v>1.9500000000000002</v>
      </c>
      <c r="N63">
        <f t="shared" si="25"/>
        <v>0.81466666666666665</v>
      </c>
      <c r="O63">
        <f t="shared" si="25"/>
        <v>0.96133333333333326</v>
      </c>
      <c r="P63">
        <f t="shared" si="25"/>
        <v>0.97699999999999998</v>
      </c>
      <c r="Q63">
        <f t="shared" si="25"/>
        <v>6.1613333333333333</v>
      </c>
      <c r="R63">
        <f t="shared" si="25"/>
        <v>0.25366666666666665</v>
      </c>
      <c r="S63">
        <f t="shared" si="25"/>
        <v>1.4140000000000001</v>
      </c>
      <c r="T63">
        <f t="shared" si="25"/>
        <v>0.32633333333333336</v>
      </c>
      <c r="U63">
        <f t="shared" si="25"/>
        <v>0.43233333333333335</v>
      </c>
      <c r="V63">
        <f t="shared" si="25"/>
        <v>0.74466666666666659</v>
      </c>
      <c r="W63">
        <f t="shared" si="25"/>
        <v>0.89699999999999991</v>
      </c>
      <c r="X63">
        <f t="shared" si="25"/>
        <v>0.48633333333333334</v>
      </c>
      <c r="Y63">
        <f t="shared" si="25"/>
        <v>0.59633333333333338</v>
      </c>
      <c r="Z63" t="e">
        <f t="shared" si="25"/>
        <v>#VALUE!</v>
      </c>
      <c r="AA63">
        <f t="shared" si="25"/>
        <v>5.6666666666666671E-2</v>
      </c>
      <c r="AB63">
        <f t="shared" si="25"/>
        <v>0.26366666666666666</v>
      </c>
      <c r="AC63">
        <f t="shared" si="25"/>
        <v>0.31766666666666665</v>
      </c>
      <c r="AD63">
        <f t="shared" si="25"/>
        <v>7.7343333333333337</v>
      </c>
      <c r="AE63">
        <f t="shared" si="25"/>
        <v>2.5026666666666664</v>
      </c>
      <c r="AF63">
        <f t="shared" si="25"/>
        <v>2.8806666666666669</v>
      </c>
      <c r="AG63">
        <f t="shared" si="25"/>
        <v>8.6576666666666657</v>
      </c>
      <c r="AH63" t="e">
        <f t="shared" si="25"/>
        <v>#VALUE!</v>
      </c>
      <c r="AI63" t="e">
        <f t="shared" si="25"/>
        <v>#VALUE!</v>
      </c>
      <c r="AJ63" t="e">
        <f t="shared" si="25"/>
        <v>#VALUE!</v>
      </c>
      <c r="AK63">
        <f t="shared" si="25"/>
        <v>1.0840000000000001</v>
      </c>
      <c r="AL63">
        <f t="shared" si="25"/>
        <v>0.73399999999999999</v>
      </c>
      <c r="AM63">
        <f t="shared" si="25"/>
        <v>1.3626666666666665</v>
      </c>
      <c r="AN63">
        <f t="shared" si="25"/>
        <v>3.6936666666666667</v>
      </c>
      <c r="AO63">
        <f t="shared" si="25"/>
        <v>1.2023333333333333</v>
      </c>
      <c r="AP63">
        <f t="shared" si="25"/>
        <v>0.85899999999999999</v>
      </c>
      <c r="AQ63">
        <f t="shared" si="25"/>
        <v>0.88833333333333331</v>
      </c>
      <c r="AR63">
        <f t="shared" si="25"/>
        <v>0.76033333333333331</v>
      </c>
      <c r="AS63">
        <f t="shared" si="25"/>
        <v>0.85033333333333327</v>
      </c>
      <c r="AT63">
        <f t="shared" si="25"/>
        <v>0.7586666666666666</v>
      </c>
      <c r="AU63">
        <f t="shared" si="25"/>
        <v>1.5146666666666668</v>
      </c>
      <c r="AV63">
        <f t="shared" si="25"/>
        <v>1.466</v>
      </c>
      <c r="AW63">
        <f t="shared" si="25"/>
        <v>1.7113333333333332</v>
      </c>
      <c r="AX63">
        <f t="shared" si="25"/>
        <v>0.98866666666666658</v>
      </c>
      <c r="AY63">
        <f t="shared" si="25"/>
        <v>1.8320000000000001</v>
      </c>
      <c r="AZ63">
        <f t="shared" si="25"/>
        <v>1.8086666666666669</v>
      </c>
      <c r="BA63" t="e">
        <f t="shared" si="25"/>
        <v>#VALUE!</v>
      </c>
      <c r="BB63">
        <f t="shared" si="25"/>
        <v>0.66966666666666663</v>
      </c>
      <c r="BC63">
        <f t="shared" si="25"/>
        <v>0.68700000000000006</v>
      </c>
      <c r="BD63">
        <f t="shared" si="25"/>
        <v>1.0246666666666666</v>
      </c>
      <c r="BE63">
        <f t="shared" si="25"/>
        <v>2.4066666666666667</v>
      </c>
      <c r="BF63" t="e">
        <f t="shared" si="25"/>
        <v>#VALUE!</v>
      </c>
      <c r="BG63">
        <f t="shared" si="25"/>
        <v>0.91433333333333344</v>
      </c>
      <c r="BH63">
        <f t="shared" si="25"/>
        <v>0.42266666666666669</v>
      </c>
      <c r="BI63">
        <f t="shared" si="25"/>
        <v>0.73533333333333339</v>
      </c>
      <c r="BJ63">
        <f t="shared" si="25"/>
        <v>1.1479999999999999</v>
      </c>
      <c r="BK63">
        <f t="shared" si="25"/>
        <v>1.1460000000000001</v>
      </c>
      <c r="BL63" t="e">
        <f t="shared" si="25"/>
        <v>#VALUE!</v>
      </c>
      <c r="BM63">
        <f t="shared" si="25"/>
        <v>1.2529999999999999</v>
      </c>
      <c r="BN63">
        <f t="shared" si="25"/>
        <v>1.5953333333333333</v>
      </c>
      <c r="BO63">
        <f t="shared" si="24"/>
        <v>1.7280000000000002</v>
      </c>
      <c r="BP63">
        <f t="shared" si="24"/>
        <v>0.84733333333333327</v>
      </c>
      <c r="BQ63">
        <f t="shared" si="24"/>
        <v>0.81133333333333324</v>
      </c>
      <c r="BR63">
        <f t="shared" si="24"/>
        <v>4.5666666666666668E-2</v>
      </c>
      <c r="BS63">
        <f t="shared" si="24"/>
        <v>0.93399999999999994</v>
      </c>
      <c r="BT63">
        <f t="shared" si="24"/>
        <v>0.25333333333333335</v>
      </c>
      <c r="BU63">
        <f t="shared" si="24"/>
        <v>0.93766666666666665</v>
      </c>
      <c r="BV63">
        <f t="shared" si="24"/>
        <v>1.6309999999999998</v>
      </c>
      <c r="BW63">
        <f t="shared" si="24"/>
        <v>2.4436666666666667</v>
      </c>
      <c r="BX63">
        <f t="shared" si="24"/>
        <v>2.1536666666666666</v>
      </c>
      <c r="BY63">
        <f t="shared" si="24"/>
        <v>1.2833333333333334</v>
      </c>
      <c r="BZ63">
        <f t="shared" si="24"/>
        <v>4.8329999999999993</v>
      </c>
      <c r="CA63">
        <f t="shared" si="24"/>
        <v>4.0340000000000007</v>
      </c>
      <c r="CB63">
        <f t="shared" si="24"/>
        <v>2.6983333333333333</v>
      </c>
      <c r="CC63">
        <f t="shared" si="24"/>
        <v>2.2196666666666665</v>
      </c>
    </row>
    <row r="64" spans="1:81" ht="15.75" x14ac:dyDescent="0.25">
      <c r="A64" s="2" t="s">
        <v>92</v>
      </c>
      <c r="B64" t="e">
        <f t="shared" si="22"/>
        <v>#VALUE!</v>
      </c>
      <c r="C64">
        <f t="shared" si="25"/>
        <v>4.8746666666666671</v>
      </c>
      <c r="D64" t="e">
        <f t="shared" si="25"/>
        <v>#VALUE!</v>
      </c>
      <c r="E64" t="e">
        <f t="shared" si="25"/>
        <v>#VALUE!</v>
      </c>
      <c r="F64" t="e">
        <f t="shared" si="25"/>
        <v>#VALUE!</v>
      </c>
      <c r="G64" t="e">
        <f t="shared" si="25"/>
        <v>#VALUE!</v>
      </c>
      <c r="H64" t="e">
        <f t="shared" si="25"/>
        <v>#VALUE!</v>
      </c>
      <c r="I64">
        <f t="shared" si="25"/>
        <v>12.888666666666666</v>
      </c>
      <c r="J64" t="e">
        <f t="shared" si="25"/>
        <v>#VALUE!</v>
      </c>
      <c r="K64" t="e">
        <f t="shared" si="25"/>
        <v>#VALUE!</v>
      </c>
      <c r="L64" t="e">
        <f t="shared" si="25"/>
        <v>#VALUE!</v>
      </c>
      <c r="M64">
        <f t="shared" si="25"/>
        <v>4.0693333333333337</v>
      </c>
      <c r="N64" t="e">
        <f t="shared" si="25"/>
        <v>#VALUE!</v>
      </c>
      <c r="O64" t="e">
        <f t="shared" si="25"/>
        <v>#VALUE!</v>
      </c>
      <c r="P64" t="e">
        <f t="shared" si="25"/>
        <v>#VALUE!</v>
      </c>
      <c r="Q64">
        <f t="shared" si="25"/>
        <v>7.3726666666666665</v>
      </c>
      <c r="R64" t="e">
        <f t="shared" si="25"/>
        <v>#VALUE!</v>
      </c>
      <c r="S64">
        <f t="shared" si="25"/>
        <v>5.0529999999999999</v>
      </c>
      <c r="T64" t="e">
        <f t="shared" si="25"/>
        <v>#VALUE!</v>
      </c>
      <c r="U64" t="e">
        <f t="shared" si="25"/>
        <v>#VALUE!</v>
      </c>
      <c r="V64" t="e">
        <f t="shared" si="25"/>
        <v>#VALUE!</v>
      </c>
      <c r="W64">
        <f t="shared" si="25"/>
        <v>7.3356666666666666</v>
      </c>
      <c r="X64" t="e">
        <f t="shared" si="25"/>
        <v>#VALUE!</v>
      </c>
      <c r="Y64" t="e">
        <f t="shared" si="25"/>
        <v>#VALUE!</v>
      </c>
      <c r="Z64" t="e">
        <f t="shared" si="25"/>
        <v>#VALUE!</v>
      </c>
      <c r="AA64">
        <f t="shared" si="25"/>
        <v>4.9939999999999998</v>
      </c>
      <c r="AB64" t="e">
        <f t="shared" si="25"/>
        <v>#VALUE!</v>
      </c>
      <c r="AC64" t="e">
        <f t="shared" si="25"/>
        <v>#VALUE!</v>
      </c>
      <c r="AD64" t="e">
        <f t="shared" si="25"/>
        <v>#VALUE!</v>
      </c>
      <c r="AE64">
        <f t="shared" si="25"/>
        <v>16.541</v>
      </c>
      <c r="AF64" t="e">
        <f t="shared" si="25"/>
        <v>#VALUE!</v>
      </c>
      <c r="AG64" t="e">
        <f t="shared" si="25"/>
        <v>#VALUE!</v>
      </c>
      <c r="AH64" t="e">
        <f t="shared" si="25"/>
        <v>#VALUE!</v>
      </c>
      <c r="AI64" t="e">
        <f t="shared" si="25"/>
        <v>#VALUE!</v>
      </c>
      <c r="AJ64" t="e">
        <f t="shared" si="25"/>
        <v>#VALUE!</v>
      </c>
      <c r="AK64">
        <f t="shared" si="25"/>
        <v>8.5103333333333335</v>
      </c>
      <c r="AL64" t="e">
        <f t="shared" si="25"/>
        <v>#VALUE!</v>
      </c>
      <c r="AM64" t="e">
        <f t="shared" si="25"/>
        <v>#VALUE!</v>
      </c>
      <c r="AN64" t="e">
        <f t="shared" si="25"/>
        <v>#VALUE!</v>
      </c>
      <c r="AO64">
        <f t="shared" si="25"/>
        <v>10.568666666666665</v>
      </c>
      <c r="AP64" t="e">
        <f t="shared" si="25"/>
        <v>#VALUE!</v>
      </c>
      <c r="AQ64">
        <f t="shared" si="25"/>
        <v>3.3713333333333333</v>
      </c>
      <c r="AR64" t="e">
        <f t="shared" si="25"/>
        <v>#VALUE!</v>
      </c>
      <c r="AS64" t="e">
        <f t="shared" si="25"/>
        <v>#VALUE!</v>
      </c>
      <c r="AT64">
        <f t="shared" si="25"/>
        <v>0</v>
      </c>
      <c r="AU64">
        <f t="shared" si="25"/>
        <v>4.2229999999999999</v>
      </c>
      <c r="AV64">
        <f t="shared" si="25"/>
        <v>0</v>
      </c>
      <c r="AW64">
        <f t="shared" si="25"/>
        <v>19.985333333333333</v>
      </c>
      <c r="AX64" t="e">
        <f t="shared" si="25"/>
        <v>#VALUE!</v>
      </c>
      <c r="AY64">
        <f t="shared" si="25"/>
        <v>8.9550000000000001</v>
      </c>
      <c r="AZ64" t="e">
        <f t="shared" si="25"/>
        <v>#VALUE!</v>
      </c>
      <c r="BA64" t="e">
        <f t="shared" si="25"/>
        <v>#VALUE!</v>
      </c>
      <c r="BB64" t="e">
        <f t="shared" si="25"/>
        <v>#VALUE!</v>
      </c>
      <c r="BC64" t="e">
        <f t="shared" si="25"/>
        <v>#VALUE!</v>
      </c>
      <c r="BD64" t="e">
        <f t="shared" si="25"/>
        <v>#VALUE!</v>
      </c>
      <c r="BE64">
        <f t="shared" si="25"/>
        <v>2.9523333333333333</v>
      </c>
      <c r="BF64" t="e">
        <f t="shared" si="25"/>
        <v>#VALUE!</v>
      </c>
      <c r="BG64">
        <f t="shared" si="25"/>
        <v>2.079333333333333</v>
      </c>
      <c r="BH64" t="e">
        <f t="shared" si="25"/>
        <v>#VALUE!</v>
      </c>
      <c r="BI64" t="e">
        <f t="shared" si="25"/>
        <v>#VALUE!</v>
      </c>
      <c r="BJ64" t="e">
        <f t="shared" si="25"/>
        <v>#VALUE!</v>
      </c>
      <c r="BK64">
        <f t="shared" si="25"/>
        <v>2.9576666666666669</v>
      </c>
      <c r="BL64" t="e">
        <f t="shared" si="25"/>
        <v>#VALUE!</v>
      </c>
      <c r="BM64" t="e">
        <f t="shared" si="25"/>
        <v>#VALUE!</v>
      </c>
      <c r="BN64" t="e">
        <f t="shared" ref="BN64:CC67" si="26">+BN47*1000</f>
        <v>#VALUE!</v>
      </c>
      <c r="BO64">
        <f t="shared" si="26"/>
        <v>10.309333333333333</v>
      </c>
      <c r="BP64" t="e">
        <f t="shared" si="26"/>
        <v>#VALUE!</v>
      </c>
      <c r="BQ64" t="e">
        <f t="shared" si="26"/>
        <v>#VALUE!</v>
      </c>
      <c r="BR64" t="e">
        <f t="shared" si="26"/>
        <v>#VALUE!</v>
      </c>
      <c r="BS64" t="e">
        <f t="shared" si="26"/>
        <v>#VALUE!</v>
      </c>
      <c r="BT64" t="e">
        <f t="shared" si="26"/>
        <v>#VALUE!</v>
      </c>
      <c r="BU64">
        <f t="shared" si="26"/>
        <v>1.1243333333333334</v>
      </c>
      <c r="BV64">
        <f t="shared" si="26"/>
        <v>0</v>
      </c>
      <c r="BW64">
        <f t="shared" si="26"/>
        <v>4.7266666666666666</v>
      </c>
      <c r="BX64" t="e">
        <f t="shared" si="26"/>
        <v>#VALUE!</v>
      </c>
      <c r="BY64" t="e">
        <f t="shared" si="26"/>
        <v>#VALUE!</v>
      </c>
      <c r="BZ64" t="e">
        <f t="shared" si="26"/>
        <v>#VALUE!</v>
      </c>
      <c r="CA64">
        <f t="shared" si="26"/>
        <v>8.3176666666666659</v>
      </c>
      <c r="CB64" t="e">
        <f t="shared" si="26"/>
        <v>#VALUE!</v>
      </c>
      <c r="CC64" t="e">
        <f t="shared" si="26"/>
        <v>#VALUE!</v>
      </c>
    </row>
    <row r="65" spans="1:81" ht="15.75" x14ac:dyDescent="0.25">
      <c r="A65" s="2" t="s">
        <v>93</v>
      </c>
      <c r="B65" t="e">
        <f t="shared" si="22"/>
        <v>#VALUE!</v>
      </c>
      <c r="C65">
        <f t="shared" ref="C65:BN68" si="27">+C48*1000</f>
        <v>7.5720000000000001</v>
      </c>
      <c r="D65" t="e">
        <f t="shared" si="27"/>
        <v>#VALUE!</v>
      </c>
      <c r="E65" t="e">
        <f t="shared" si="27"/>
        <v>#VALUE!</v>
      </c>
      <c r="F65" t="e">
        <f t="shared" si="27"/>
        <v>#VALUE!</v>
      </c>
      <c r="G65" t="e">
        <f t="shared" si="27"/>
        <v>#VALUE!</v>
      </c>
      <c r="H65" t="e">
        <f t="shared" si="27"/>
        <v>#VALUE!</v>
      </c>
      <c r="I65">
        <f t="shared" si="27"/>
        <v>2.0973333333333333</v>
      </c>
      <c r="J65" t="e">
        <f t="shared" si="27"/>
        <v>#VALUE!</v>
      </c>
      <c r="K65" t="e">
        <f t="shared" si="27"/>
        <v>#VALUE!</v>
      </c>
      <c r="L65" t="e">
        <f t="shared" si="27"/>
        <v>#VALUE!</v>
      </c>
      <c r="M65">
        <f t="shared" si="27"/>
        <v>2.4143333333333334</v>
      </c>
      <c r="N65" t="e">
        <f t="shared" si="27"/>
        <v>#VALUE!</v>
      </c>
      <c r="O65" t="e">
        <f t="shared" si="27"/>
        <v>#VALUE!</v>
      </c>
      <c r="P65" t="e">
        <f t="shared" si="27"/>
        <v>#VALUE!</v>
      </c>
      <c r="Q65">
        <f t="shared" si="27"/>
        <v>0.85533333333333339</v>
      </c>
      <c r="R65" t="e">
        <f t="shared" si="27"/>
        <v>#VALUE!</v>
      </c>
      <c r="S65">
        <f t="shared" si="27"/>
        <v>3.0573333333333332</v>
      </c>
      <c r="T65" t="e">
        <f t="shared" si="27"/>
        <v>#VALUE!</v>
      </c>
      <c r="U65" t="e">
        <f t="shared" si="27"/>
        <v>#VALUE!</v>
      </c>
      <c r="V65" t="e">
        <f t="shared" si="27"/>
        <v>#VALUE!</v>
      </c>
      <c r="W65">
        <f t="shared" si="27"/>
        <v>0.438</v>
      </c>
      <c r="X65" t="e">
        <f t="shared" si="27"/>
        <v>#VALUE!</v>
      </c>
      <c r="Y65" t="e">
        <f t="shared" si="27"/>
        <v>#VALUE!</v>
      </c>
      <c r="Z65" t="e">
        <f t="shared" si="27"/>
        <v>#VALUE!</v>
      </c>
      <c r="AA65">
        <f t="shared" si="27"/>
        <v>0.36833333333333335</v>
      </c>
      <c r="AB65" t="e">
        <f t="shared" si="27"/>
        <v>#VALUE!</v>
      </c>
      <c r="AC65" t="e">
        <f t="shared" si="27"/>
        <v>#VALUE!</v>
      </c>
      <c r="AD65" t="e">
        <f t="shared" si="27"/>
        <v>#VALUE!</v>
      </c>
      <c r="AE65">
        <f t="shared" si="27"/>
        <v>1.8679999999999999</v>
      </c>
      <c r="AF65" t="e">
        <f t="shared" si="27"/>
        <v>#VALUE!</v>
      </c>
      <c r="AG65" t="e">
        <f t="shared" si="27"/>
        <v>#VALUE!</v>
      </c>
      <c r="AH65" t="e">
        <f t="shared" si="27"/>
        <v>#VALUE!</v>
      </c>
      <c r="AI65" t="e">
        <f t="shared" si="27"/>
        <v>#VALUE!</v>
      </c>
      <c r="AJ65" t="e">
        <f t="shared" si="27"/>
        <v>#VALUE!</v>
      </c>
      <c r="AK65">
        <f t="shared" si="27"/>
        <v>0.92300000000000015</v>
      </c>
      <c r="AL65" t="e">
        <f t="shared" si="27"/>
        <v>#VALUE!</v>
      </c>
      <c r="AM65" t="e">
        <f t="shared" si="27"/>
        <v>#VALUE!</v>
      </c>
      <c r="AN65" t="e">
        <f t="shared" si="27"/>
        <v>#VALUE!</v>
      </c>
      <c r="AO65" t="e">
        <f t="shared" si="27"/>
        <v>#VALUE!</v>
      </c>
      <c r="AP65" t="e">
        <f t="shared" si="27"/>
        <v>#VALUE!</v>
      </c>
      <c r="AQ65">
        <f t="shared" si="27"/>
        <v>0.73033333333333328</v>
      </c>
      <c r="AR65" t="e">
        <f t="shared" si="27"/>
        <v>#VALUE!</v>
      </c>
      <c r="AS65" t="e">
        <f t="shared" si="27"/>
        <v>#VALUE!</v>
      </c>
      <c r="AT65" t="e">
        <f t="shared" si="27"/>
        <v>#VALUE!</v>
      </c>
      <c r="AU65" t="e">
        <f t="shared" si="27"/>
        <v>#VALUE!</v>
      </c>
      <c r="AV65" t="e">
        <f t="shared" si="27"/>
        <v>#VALUE!</v>
      </c>
      <c r="AW65">
        <f t="shared" si="27"/>
        <v>2.4366666666666665</v>
      </c>
      <c r="AX65" t="e">
        <f t="shared" si="27"/>
        <v>#VALUE!</v>
      </c>
      <c r="AY65">
        <f t="shared" si="27"/>
        <v>4.0609999999999999</v>
      </c>
      <c r="AZ65" t="e">
        <f t="shared" si="27"/>
        <v>#VALUE!</v>
      </c>
      <c r="BA65" t="e">
        <f t="shared" si="27"/>
        <v>#VALUE!</v>
      </c>
      <c r="BB65" t="e">
        <f t="shared" si="27"/>
        <v>#VALUE!</v>
      </c>
      <c r="BC65" t="e">
        <f t="shared" si="27"/>
        <v>#VALUE!</v>
      </c>
      <c r="BD65" t="e">
        <f t="shared" si="27"/>
        <v>#VALUE!</v>
      </c>
      <c r="BE65">
        <f t="shared" si="27"/>
        <v>0.61266666666666658</v>
      </c>
      <c r="BF65" t="e">
        <f t="shared" si="27"/>
        <v>#VALUE!</v>
      </c>
      <c r="BG65">
        <f t="shared" si="27"/>
        <v>0.97766666666666657</v>
      </c>
      <c r="BH65" t="e">
        <f t="shared" si="27"/>
        <v>#VALUE!</v>
      </c>
      <c r="BI65" t="e">
        <f t="shared" si="27"/>
        <v>#VALUE!</v>
      </c>
      <c r="BJ65" t="e">
        <f t="shared" si="27"/>
        <v>#VALUE!</v>
      </c>
      <c r="BK65">
        <f t="shared" si="27"/>
        <v>3.2399999999999998</v>
      </c>
      <c r="BL65" t="e">
        <f t="shared" si="27"/>
        <v>#VALUE!</v>
      </c>
      <c r="BM65" t="e">
        <f t="shared" si="27"/>
        <v>#VALUE!</v>
      </c>
      <c r="BN65" t="e">
        <f t="shared" si="27"/>
        <v>#VALUE!</v>
      </c>
      <c r="BO65">
        <f t="shared" si="26"/>
        <v>0.57066666666666666</v>
      </c>
      <c r="BP65" t="e">
        <f t="shared" si="26"/>
        <v>#VALUE!</v>
      </c>
      <c r="BQ65" t="e">
        <f t="shared" si="26"/>
        <v>#VALUE!</v>
      </c>
      <c r="BR65" t="e">
        <f t="shared" si="26"/>
        <v>#VALUE!</v>
      </c>
      <c r="BS65" t="e">
        <f t="shared" si="26"/>
        <v>#VALUE!</v>
      </c>
      <c r="BT65" t="e">
        <f t="shared" si="26"/>
        <v>#VALUE!</v>
      </c>
      <c r="BU65">
        <f t="shared" si="26"/>
        <v>1.3663333333333334</v>
      </c>
      <c r="BV65">
        <f t="shared" si="26"/>
        <v>0</v>
      </c>
      <c r="BW65">
        <f t="shared" si="26"/>
        <v>0.82366666666666666</v>
      </c>
      <c r="BX65" t="e">
        <f t="shared" si="26"/>
        <v>#VALUE!</v>
      </c>
      <c r="BY65" t="e">
        <f t="shared" si="26"/>
        <v>#VALUE!</v>
      </c>
      <c r="BZ65" t="e">
        <f t="shared" si="26"/>
        <v>#VALUE!</v>
      </c>
      <c r="CA65">
        <f t="shared" si="26"/>
        <v>0.40033333333333332</v>
      </c>
      <c r="CB65" t="e">
        <f t="shared" si="26"/>
        <v>#VALUE!</v>
      </c>
      <c r="CC65" t="e">
        <f t="shared" si="26"/>
        <v>#VALUE!</v>
      </c>
    </row>
    <row r="66" spans="1:81" ht="15.75" x14ac:dyDescent="0.25">
      <c r="A66" s="2" t="s">
        <v>94</v>
      </c>
      <c r="B66" t="e">
        <f t="shared" si="22"/>
        <v>#VALUE!</v>
      </c>
      <c r="C66">
        <f t="shared" si="27"/>
        <v>1.0593333333333335</v>
      </c>
      <c r="D66" t="e">
        <f t="shared" si="27"/>
        <v>#VALUE!</v>
      </c>
      <c r="E66" t="e">
        <f t="shared" si="27"/>
        <v>#VALUE!</v>
      </c>
      <c r="F66" t="e">
        <f t="shared" si="27"/>
        <v>#VALUE!</v>
      </c>
      <c r="G66" t="e">
        <f t="shared" si="27"/>
        <v>#VALUE!</v>
      </c>
      <c r="H66" t="e">
        <f t="shared" si="27"/>
        <v>#VALUE!</v>
      </c>
      <c r="I66">
        <f t="shared" si="27"/>
        <v>11.844000000000001</v>
      </c>
      <c r="J66" t="e">
        <f t="shared" si="27"/>
        <v>#VALUE!</v>
      </c>
      <c r="K66" t="e">
        <f t="shared" si="27"/>
        <v>#VALUE!</v>
      </c>
      <c r="L66" t="e">
        <f t="shared" si="27"/>
        <v>#VALUE!</v>
      </c>
      <c r="M66">
        <f t="shared" si="27"/>
        <v>7.7906666666666675</v>
      </c>
      <c r="N66" t="e">
        <f t="shared" si="27"/>
        <v>#VALUE!</v>
      </c>
      <c r="O66" t="e">
        <f t="shared" si="27"/>
        <v>#VALUE!</v>
      </c>
      <c r="P66" t="e">
        <f t="shared" si="27"/>
        <v>#VALUE!</v>
      </c>
      <c r="Q66">
        <f t="shared" si="27"/>
        <v>4.4986666666666668</v>
      </c>
      <c r="R66" t="e">
        <f t="shared" si="27"/>
        <v>#VALUE!</v>
      </c>
      <c r="S66">
        <f t="shared" si="27"/>
        <v>17.416</v>
      </c>
      <c r="T66" t="e">
        <f t="shared" si="27"/>
        <v>#VALUE!</v>
      </c>
      <c r="U66" t="e">
        <f t="shared" si="27"/>
        <v>#VALUE!</v>
      </c>
      <c r="V66" t="e">
        <f t="shared" si="27"/>
        <v>#VALUE!</v>
      </c>
      <c r="W66">
        <f t="shared" si="27"/>
        <v>1.9786666666666668</v>
      </c>
      <c r="X66" t="e">
        <f t="shared" si="27"/>
        <v>#VALUE!</v>
      </c>
      <c r="Y66" t="e">
        <f t="shared" si="27"/>
        <v>#VALUE!</v>
      </c>
      <c r="Z66" t="e">
        <f t="shared" si="27"/>
        <v>#VALUE!</v>
      </c>
      <c r="AA66">
        <f t="shared" si="27"/>
        <v>2.5373333333333332</v>
      </c>
      <c r="AB66" t="e">
        <f t="shared" si="27"/>
        <v>#VALUE!</v>
      </c>
      <c r="AC66" t="e">
        <f t="shared" si="27"/>
        <v>#VALUE!</v>
      </c>
      <c r="AD66" t="e">
        <f t="shared" si="27"/>
        <v>#VALUE!</v>
      </c>
      <c r="AE66">
        <f t="shared" si="27"/>
        <v>8.1930000000000014</v>
      </c>
      <c r="AF66" t="e">
        <f t="shared" si="27"/>
        <v>#VALUE!</v>
      </c>
      <c r="AG66" t="e">
        <f t="shared" si="27"/>
        <v>#VALUE!</v>
      </c>
      <c r="AH66" t="e">
        <f t="shared" si="27"/>
        <v>#VALUE!</v>
      </c>
      <c r="AI66" t="e">
        <f t="shared" si="27"/>
        <v>#VALUE!</v>
      </c>
      <c r="AJ66" t="e">
        <f t="shared" si="27"/>
        <v>#VALUE!</v>
      </c>
      <c r="AK66">
        <f t="shared" si="27"/>
        <v>3.6846666666666663</v>
      </c>
      <c r="AL66" t="e">
        <f t="shared" si="27"/>
        <v>#VALUE!</v>
      </c>
      <c r="AM66" t="e">
        <f t="shared" si="27"/>
        <v>#VALUE!</v>
      </c>
      <c r="AN66" t="e">
        <f t="shared" si="27"/>
        <v>#VALUE!</v>
      </c>
      <c r="AO66" t="e">
        <f t="shared" si="27"/>
        <v>#VALUE!</v>
      </c>
      <c r="AP66" t="e">
        <f t="shared" si="27"/>
        <v>#VALUE!</v>
      </c>
      <c r="AQ66">
        <f t="shared" si="27"/>
        <v>8.6313333333333322</v>
      </c>
      <c r="AR66" t="e">
        <f t="shared" si="27"/>
        <v>#VALUE!</v>
      </c>
      <c r="AS66" t="e">
        <f t="shared" si="27"/>
        <v>#VALUE!</v>
      </c>
      <c r="AT66" t="e">
        <f t="shared" si="27"/>
        <v>#VALUE!</v>
      </c>
      <c r="AU66" t="e">
        <f t="shared" si="27"/>
        <v>#VALUE!</v>
      </c>
      <c r="AV66" t="e">
        <f t="shared" si="27"/>
        <v>#VALUE!</v>
      </c>
      <c r="AW66">
        <f t="shared" si="27"/>
        <v>11.423666666666668</v>
      </c>
      <c r="AX66" t="e">
        <f t="shared" si="27"/>
        <v>#VALUE!</v>
      </c>
      <c r="AY66">
        <f t="shared" si="27"/>
        <v>22.69466666666667</v>
      </c>
      <c r="AZ66" t="e">
        <f t="shared" si="27"/>
        <v>#VALUE!</v>
      </c>
      <c r="BA66" t="e">
        <f t="shared" si="27"/>
        <v>#VALUE!</v>
      </c>
      <c r="BB66" t="e">
        <f t="shared" si="27"/>
        <v>#VALUE!</v>
      </c>
      <c r="BC66" t="e">
        <f t="shared" si="27"/>
        <v>#VALUE!</v>
      </c>
      <c r="BD66" t="e">
        <f t="shared" si="27"/>
        <v>#VALUE!</v>
      </c>
      <c r="BE66">
        <f t="shared" si="27"/>
        <v>1.2563333333333335</v>
      </c>
      <c r="BF66" t="e">
        <f t="shared" si="27"/>
        <v>#VALUE!</v>
      </c>
      <c r="BG66">
        <f t="shared" si="27"/>
        <v>5.9813333333333345</v>
      </c>
      <c r="BH66" t="e">
        <f t="shared" si="27"/>
        <v>#VALUE!</v>
      </c>
      <c r="BI66" t="e">
        <f t="shared" si="27"/>
        <v>#VALUE!</v>
      </c>
      <c r="BJ66" t="e">
        <f t="shared" si="27"/>
        <v>#VALUE!</v>
      </c>
      <c r="BK66">
        <f t="shared" si="27"/>
        <v>7.3106666666666671</v>
      </c>
      <c r="BL66" t="e">
        <f t="shared" si="27"/>
        <v>#VALUE!</v>
      </c>
      <c r="BM66" t="e">
        <f t="shared" si="27"/>
        <v>#VALUE!</v>
      </c>
      <c r="BN66" t="e">
        <f t="shared" si="27"/>
        <v>#VALUE!</v>
      </c>
      <c r="BO66">
        <f t="shared" si="26"/>
        <v>2.5529999999999999</v>
      </c>
      <c r="BP66" t="e">
        <f t="shared" si="26"/>
        <v>#VALUE!</v>
      </c>
      <c r="BQ66" t="e">
        <f t="shared" si="26"/>
        <v>#VALUE!</v>
      </c>
      <c r="BR66" t="e">
        <f t="shared" si="26"/>
        <v>#VALUE!</v>
      </c>
      <c r="BS66" t="e">
        <f t="shared" si="26"/>
        <v>#VALUE!</v>
      </c>
      <c r="BT66" t="e">
        <f t="shared" si="26"/>
        <v>#VALUE!</v>
      </c>
      <c r="BU66">
        <f t="shared" si="26"/>
        <v>5.1413333333333338</v>
      </c>
      <c r="BV66">
        <f t="shared" si="26"/>
        <v>0</v>
      </c>
      <c r="BW66">
        <f t="shared" si="26"/>
        <v>6.4153333333333329</v>
      </c>
      <c r="BX66" t="e">
        <f t="shared" si="26"/>
        <v>#VALUE!</v>
      </c>
      <c r="BY66" t="e">
        <f t="shared" si="26"/>
        <v>#VALUE!</v>
      </c>
      <c r="BZ66" t="e">
        <f t="shared" si="26"/>
        <v>#VALUE!</v>
      </c>
      <c r="CA66">
        <f t="shared" si="26"/>
        <v>2.6536666666666666</v>
      </c>
      <c r="CB66" t="e">
        <f t="shared" si="26"/>
        <v>#VALUE!</v>
      </c>
      <c r="CC66" t="e">
        <f t="shared" si="26"/>
        <v>#VALUE!</v>
      </c>
    </row>
    <row r="67" spans="1:81" ht="15.75" x14ac:dyDescent="0.25">
      <c r="A67" s="2" t="s">
        <v>95</v>
      </c>
      <c r="B67" t="e">
        <f t="shared" si="22"/>
        <v>#VALUE!</v>
      </c>
      <c r="C67">
        <f t="shared" si="27"/>
        <v>0</v>
      </c>
      <c r="D67" t="e">
        <f t="shared" si="27"/>
        <v>#VALUE!</v>
      </c>
      <c r="E67" t="e">
        <f t="shared" si="27"/>
        <v>#VALUE!</v>
      </c>
      <c r="F67" t="e">
        <f t="shared" si="27"/>
        <v>#VALUE!</v>
      </c>
      <c r="G67" t="e">
        <f t="shared" si="27"/>
        <v>#VALUE!</v>
      </c>
      <c r="H67" t="e">
        <f t="shared" si="27"/>
        <v>#VALUE!</v>
      </c>
      <c r="I67">
        <f t="shared" si="27"/>
        <v>1.127</v>
      </c>
      <c r="J67" t="e">
        <f t="shared" si="27"/>
        <v>#VALUE!</v>
      </c>
      <c r="K67" t="e">
        <f t="shared" si="27"/>
        <v>#VALUE!</v>
      </c>
      <c r="L67" t="e">
        <f t="shared" si="27"/>
        <v>#VALUE!</v>
      </c>
      <c r="M67">
        <f t="shared" si="27"/>
        <v>0.8746666666666667</v>
      </c>
      <c r="N67" t="e">
        <f t="shared" si="27"/>
        <v>#VALUE!</v>
      </c>
      <c r="O67" t="e">
        <f t="shared" si="27"/>
        <v>#VALUE!</v>
      </c>
      <c r="P67" t="e">
        <f t="shared" si="27"/>
        <v>#VALUE!</v>
      </c>
      <c r="Q67">
        <f t="shared" si="27"/>
        <v>0.30533333333333335</v>
      </c>
      <c r="R67" t="e">
        <f t="shared" si="27"/>
        <v>#VALUE!</v>
      </c>
      <c r="S67">
        <f t="shared" si="27"/>
        <v>13.547333333333333</v>
      </c>
      <c r="T67" t="e">
        <f t="shared" si="27"/>
        <v>#VALUE!</v>
      </c>
      <c r="U67" t="e">
        <f t="shared" si="27"/>
        <v>#VALUE!</v>
      </c>
      <c r="V67" t="e">
        <f t="shared" si="27"/>
        <v>#VALUE!</v>
      </c>
      <c r="W67">
        <f t="shared" si="27"/>
        <v>0.22566666666666665</v>
      </c>
      <c r="X67" t="e">
        <f t="shared" si="27"/>
        <v>#VALUE!</v>
      </c>
      <c r="Y67" t="e">
        <f t="shared" si="27"/>
        <v>#VALUE!</v>
      </c>
      <c r="Z67" t="e">
        <f t="shared" si="27"/>
        <v>#VALUE!</v>
      </c>
      <c r="AA67">
        <f t="shared" si="27"/>
        <v>0.35833333333333334</v>
      </c>
      <c r="AB67" t="e">
        <f t="shared" si="27"/>
        <v>#VALUE!</v>
      </c>
      <c r="AC67" t="e">
        <f t="shared" si="27"/>
        <v>#VALUE!</v>
      </c>
      <c r="AD67">
        <f t="shared" si="27"/>
        <v>0.29599999999999999</v>
      </c>
      <c r="AE67">
        <f t="shared" si="27"/>
        <v>2.7889999999999997</v>
      </c>
      <c r="AF67">
        <f t="shared" si="27"/>
        <v>0.32866666666666661</v>
      </c>
      <c r="AG67">
        <f t="shared" si="27"/>
        <v>0.25333333333333335</v>
      </c>
      <c r="AH67" t="e">
        <f t="shared" si="27"/>
        <v>#VALUE!</v>
      </c>
      <c r="AI67" t="e">
        <f t="shared" si="27"/>
        <v>#VALUE!</v>
      </c>
      <c r="AJ67" t="e">
        <f t="shared" si="27"/>
        <v>#VALUE!</v>
      </c>
      <c r="AK67">
        <f t="shared" si="27"/>
        <v>0.41166666666666668</v>
      </c>
      <c r="AL67" t="e">
        <f t="shared" si="27"/>
        <v>#VALUE!</v>
      </c>
      <c r="AM67" t="e">
        <f t="shared" si="27"/>
        <v>#VALUE!</v>
      </c>
      <c r="AN67" t="e">
        <f t="shared" si="27"/>
        <v>#VALUE!</v>
      </c>
      <c r="AO67" t="e">
        <f t="shared" si="27"/>
        <v>#VALUE!</v>
      </c>
      <c r="AP67" t="e">
        <f t="shared" si="27"/>
        <v>#VALUE!</v>
      </c>
      <c r="AQ67">
        <f t="shared" si="27"/>
        <v>1.2353333333333334</v>
      </c>
      <c r="AR67" t="e">
        <f t="shared" si="27"/>
        <v>#VALUE!</v>
      </c>
      <c r="AS67" t="e">
        <f t="shared" si="27"/>
        <v>#VALUE!</v>
      </c>
      <c r="AT67" t="e">
        <f t="shared" si="27"/>
        <v>#VALUE!</v>
      </c>
      <c r="AU67" t="e">
        <f t="shared" si="27"/>
        <v>#VALUE!</v>
      </c>
      <c r="AV67" t="e">
        <f t="shared" si="27"/>
        <v>#VALUE!</v>
      </c>
      <c r="AW67">
        <f t="shared" si="27"/>
        <v>2.1946666666666665</v>
      </c>
      <c r="AX67" t="e">
        <f t="shared" si="27"/>
        <v>#VALUE!</v>
      </c>
      <c r="AY67">
        <f t="shared" si="27"/>
        <v>2.3176666666666668</v>
      </c>
      <c r="AZ67" t="e">
        <f t="shared" si="27"/>
        <v>#VALUE!</v>
      </c>
      <c r="BA67" t="e">
        <f t="shared" si="27"/>
        <v>#VALUE!</v>
      </c>
      <c r="BB67" t="e">
        <f t="shared" si="27"/>
        <v>#VALUE!</v>
      </c>
      <c r="BC67" t="e">
        <f t="shared" si="27"/>
        <v>#VALUE!</v>
      </c>
      <c r="BD67" t="e">
        <f t="shared" si="27"/>
        <v>#VALUE!</v>
      </c>
      <c r="BE67">
        <f t="shared" si="27"/>
        <v>0.17466666666666669</v>
      </c>
      <c r="BF67" t="e">
        <f t="shared" si="27"/>
        <v>#VALUE!</v>
      </c>
      <c r="BG67">
        <f t="shared" si="27"/>
        <v>1.0766666666666664</v>
      </c>
      <c r="BH67" t="e">
        <f t="shared" si="27"/>
        <v>#VALUE!</v>
      </c>
      <c r="BI67" t="e">
        <f t="shared" si="27"/>
        <v>#VALUE!</v>
      </c>
      <c r="BJ67" t="e">
        <f t="shared" si="27"/>
        <v>#VALUE!</v>
      </c>
      <c r="BK67">
        <f t="shared" si="27"/>
        <v>0.96866666666666668</v>
      </c>
      <c r="BL67" t="e">
        <f t="shared" si="27"/>
        <v>#VALUE!</v>
      </c>
      <c r="BM67" t="e">
        <f t="shared" si="27"/>
        <v>#VALUE!</v>
      </c>
      <c r="BN67" t="e">
        <f t="shared" si="27"/>
        <v>#VALUE!</v>
      </c>
      <c r="BO67">
        <f t="shared" si="26"/>
        <v>0.22800000000000001</v>
      </c>
      <c r="BP67" t="e">
        <f t="shared" si="26"/>
        <v>#VALUE!</v>
      </c>
      <c r="BQ67" t="e">
        <f t="shared" si="26"/>
        <v>#VALUE!</v>
      </c>
      <c r="BR67" t="e">
        <f t="shared" si="26"/>
        <v>#VALUE!</v>
      </c>
      <c r="BS67" t="e">
        <f t="shared" si="26"/>
        <v>#VALUE!</v>
      </c>
      <c r="BT67" t="e">
        <f t="shared" si="26"/>
        <v>#VALUE!</v>
      </c>
      <c r="BU67">
        <f t="shared" si="26"/>
        <v>0.58799999999999997</v>
      </c>
      <c r="BV67">
        <f t="shared" si="26"/>
        <v>0</v>
      </c>
      <c r="BW67">
        <f t="shared" si="26"/>
        <v>0.69166666666666676</v>
      </c>
      <c r="BX67" t="e">
        <f t="shared" si="26"/>
        <v>#VALUE!</v>
      </c>
      <c r="BY67" t="e">
        <f t="shared" si="26"/>
        <v>#VALUE!</v>
      </c>
      <c r="BZ67" t="e">
        <f t="shared" si="26"/>
        <v>#VALUE!</v>
      </c>
      <c r="CA67">
        <f t="shared" si="26"/>
        <v>0.40499999999999997</v>
      </c>
      <c r="CB67" t="e">
        <f t="shared" si="26"/>
        <v>#VALUE!</v>
      </c>
      <c r="CC67" t="e">
        <f t="shared" si="26"/>
        <v>#VALUE!</v>
      </c>
    </row>
    <row r="68" spans="1:81" ht="15.75" x14ac:dyDescent="0.25">
      <c r="A68" s="2" t="s">
        <v>96</v>
      </c>
      <c r="B68" t="e">
        <f t="shared" si="22"/>
        <v>#VALUE!</v>
      </c>
      <c r="C68">
        <f t="shared" si="27"/>
        <v>2.6619999999999999</v>
      </c>
      <c r="D68" t="e">
        <f t="shared" si="27"/>
        <v>#VALUE!</v>
      </c>
      <c r="E68" t="e">
        <f t="shared" si="27"/>
        <v>#VALUE!</v>
      </c>
      <c r="F68" t="e">
        <f t="shared" si="27"/>
        <v>#VALUE!</v>
      </c>
      <c r="G68" t="e">
        <f t="shared" si="27"/>
        <v>#VALUE!</v>
      </c>
      <c r="H68" t="e">
        <f t="shared" si="27"/>
        <v>#VALUE!</v>
      </c>
      <c r="I68">
        <f t="shared" si="27"/>
        <v>4.4236666666666666</v>
      </c>
      <c r="J68" t="e">
        <f t="shared" si="27"/>
        <v>#VALUE!</v>
      </c>
      <c r="K68" t="e">
        <f t="shared" si="27"/>
        <v>#VALUE!</v>
      </c>
      <c r="L68" t="e">
        <f t="shared" si="27"/>
        <v>#VALUE!</v>
      </c>
      <c r="M68">
        <f t="shared" si="27"/>
        <v>2.3879999999999999</v>
      </c>
      <c r="N68" t="e">
        <f t="shared" si="27"/>
        <v>#VALUE!</v>
      </c>
      <c r="O68" t="e">
        <f t="shared" si="27"/>
        <v>#VALUE!</v>
      </c>
      <c r="P68" t="e">
        <f t="shared" si="27"/>
        <v>#VALUE!</v>
      </c>
      <c r="Q68">
        <f t="shared" si="27"/>
        <v>0.91933333333333334</v>
      </c>
      <c r="R68" t="e">
        <f t="shared" si="27"/>
        <v>#VALUE!</v>
      </c>
      <c r="S68">
        <f t="shared" si="27"/>
        <v>10.786</v>
      </c>
      <c r="T68" t="e">
        <f t="shared" si="27"/>
        <v>#VALUE!</v>
      </c>
      <c r="U68" t="e">
        <f t="shared" si="27"/>
        <v>#VALUE!</v>
      </c>
      <c r="V68" t="e">
        <f t="shared" si="27"/>
        <v>#VALUE!</v>
      </c>
      <c r="W68">
        <f t="shared" si="27"/>
        <v>0.78800000000000003</v>
      </c>
      <c r="X68" t="e">
        <f t="shared" si="27"/>
        <v>#VALUE!</v>
      </c>
      <c r="Y68" t="e">
        <f t="shared" si="27"/>
        <v>#VALUE!</v>
      </c>
      <c r="Z68" t="e">
        <f t="shared" si="27"/>
        <v>#VALUE!</v>
      </c>
      <c r="AA68">
        <f t="shared" si="27"/>
        <v>0.77500000000000002</v>
      </c>
      <c r="AB68" t="e">
        <f t="shared" si="27"/>
        <v>#VALUE!</v>
      </c>
      <c r="AC68" t="e">
        <f t="shared" si="27"/>
        <v>#VALUE!</v>
      </c>
      <c r="AD68" t="e">
        <f t="shared" si="27"/>
        <v>#VALUE!</v>
      </c>
      <c r="AE68">
        <f t="shared" si="27"/>
        <v>5.7116666666666669</v>
      </c>
      <c r="AF68" t="e">
        <f t="shared" si="27"/>
        <v>#VALUE!</v>
      </c>
      <c r="AG68" t="e">
        <f t="shared" si="27"/>
        <v>#VALUE!</v>
      </c>
      <c r="AH68" t="e">
        <f t="shared" si="27"/>
        <v>#VALUE!</v>
      </c>
      <c r="AI68" t="e">
        <f t="shared" si="27"/>
        <v>#VALUE!</v>
      </c>
      <c r="AJ68" t="e">
        <f t="shared" si="27"/>
        <v>#VALUE!</v>
      </c>
      <c r="AK68">
        <f t="shared" si="27"/>
        <v>1.2630000000000001</v>
      </c>
      <c r="AL68" t="e">
        <f t="shared" si="27"/>
        <v>#VALUE!</v>
      </c>
      <c r="AM68" t="e">
        <f t="shared" si="27"/>
        <v>#VALUE!</v>
      </c>
      <c r="AN68" t="e">
        <f t="shared" si="27"/>
        <v>#VALUE!</v>
      </c>
      <c r="AO68" t="e">
        <f t="shared" si="27"/>
        <v>#VALUE!</v>
      </c>
      <c r="AP68" t="e">
        <f t="shared" si="27"/>
        <v>#VALUE!</v>
      </c>
      <c r="AQ68">
        <f t="shared" si="27"/>
        <v>3.6303333333333332</v>
      </c>
      <c r="AR68" t="e">
        <f t="shared" si="27"/>
        <v>#VALUE!</v>
      </c>
      <c r="AS68" t="e">
        <f t="shared" si="27"/>
        <v>#VALUE!</v>
      </c>
      <c r="AT68" t="e">
        <f t="shared" si="27"/>
        <v>#VALUE!</v>
      </c>
      <c r="AU68" t="e">
        <f t="shared" si="27"/>
        <v>#VALUE!</v>
      </c>
      <c r="AV68" t="e">
        <f t="shared" si="27"/>
        <v>#VALUE!</v>
      </c>
      <c r="AW68">
        <f t="shared" si="27"/>
        <v>2.7189999999999994</v>
      </c>
      <c r="AX68" t="e">
        <f t="shared" si="27"/>
        <v>#VALUE!</v>
      </c>
      <c r="AY68">
        <f t="shared" si="27"/>
        <v>9.0016666666666669</v>
      </c>
      <c r="AZ68" t="e">
        <f t="shared" si="27"/>
        <v>#VALUE!</v>
      </c>
      <c r="BA68" t="e">
        <f t="shared" si="27"/>
        <v>#VALUE!</v>
      </c>
      <c r="BB68" t="e">
        <f t="shared" si="27"/>
        <v>#VALUE!</v>
      </c>
      <c r="BC68" t="e">
        <f t="shared" si="27"/>
        <v>#VALUE!</v>
      </c>
      <c r="BD68" t="e">
        <f t="shared" si="27"/>
        <v>#VALUE!</v>
      </c>
      <c r="BE68">
        <f t="shared" si="27"/>
        <v>0.62666666666666659</v>
      </c>
      <c r="BF68" t="e">
        <f t="shared" si="27"/>
        <v>#VALUE!</v>
      </c>
      <c r="BG68">
        <f t="shared" si="27"/>
        <v>2.6479999999999997</v>
      </c>
      <c r="BH68" t="e">
        <f t="shared" si="27"/>
        <v>#VALUE!</v>
      </c>
      <c r="BI68" t="e">
        <f t="shared" si="27"/>
        <v>#VALUE!</v>
      </c>
      <c r="BJ68" t="e">
        <f t="shared" si="27"/>
        <v>#VALUE!</v>
      </c>
      <c r="BK68">
        <f t="shared" si="27"/>
        <v>2.2566666666666668</v>
      </c>
      <c r="BL68" t="e">
        <f t="shared" si="27"/>
        <v>#VALUE!</v>
      </c>
      <c r="BM68" t="e">
        <f t="shared" si="27"/>
        <v>#VALUE!</v>
      </c>
      <c r="BN68" t="e">
        <f t="shared" ref="BN68:CC70" si="28">+BN51*1000</f>
        <v>#VALUE!</v>
      </c>
      <c r="BO68">
        <f t="shared" si="28"/>
        <v>0.77566666666666673</v>
      </c>
      <c r="BP68" t="e">
        <f t="shared" si="28"/>
        <v>#VALUE!</v>
      </c>
      <c r="BQ68" t="e">
        <f t="shared" si="28"/>
        <v>#VALUE!</v>
      </c>
      <c r="BR68" t="e">
        <f t="shared" si="28"/>
        <v>#VALUE!</v>
      </c>
      <c r="BS68" t="e">
        <f t="shared" si="28"/>
        <v>#VALUE!</v>
      </c>
      <c r="BT68" t="e">
        <f t="shared" si="28"/>
        <v>#VALUE!</v>
      </c>
      <c r="BU68">
        <f t="shared" si="28"/>
        <v>1.3773333333333335</v>
      </c>
      <c r="BV68">
        <f t="shared" si="28"/>
        <v>0</v>
      </c>
      <c r="BW68">
        <f t="shared" si="28"/>
        <v>2.6573333333333333</v>
      </c>
      <c r="BX68" t="e">
        <f t="shared" si="28"/>
        <v>#VALUE!</v>
      </c>
      <c r="BY68" t="e">
        <f t="shared" si="28"/>
        <v>#VALUE!</v>
      </c>
      <c r="BZ68" t="e">
        <f t="shared" si="28"/>
        <v>#VALUE!</v>
      </c>
      <c r="CA68">
        <f t="shared" si="28"/>
        <v>1.22</v>
      </c>
      <c r="CB68" t="e">
        <f t="shared" si="28"/>
        <v>#VALUE!</v>
      </c>
      <c r="CC68" t="e">
        <f t="shared" si="28"/>
        <v>#VALUE!</v>
      </c>
    </row>
    <row r="69" spans="1:81" ht="15.75" x14ac:dyDescent="0.25">
      <c r="A69" s="2" t="s">
        <v>97</v>
      </c>
      <c r="B69">
        <f t="shared" si="22"/>
        <v>1.5939999999999999</v>
      </c>
      <c r="C69">
        <f t="shared" ref="C69:BN70" si="29">+C52*1000</f>
        <v>1.607</v>
      </c>
      <c r="D69">
        <f t="shared" si="29"/>
        <v>2.9593333333333334</v>
      </c>
      <c r="E69">
        <f t="shared" si="29"/>
        <v>3.8606666666666669</v>
      </c>
      <c r="F69">
        <f t="shared" si="29"/>
        <v>1.4483333333333335</v>
      </c>
      <c r="G69">
        <f t="shared" si="29"/>
        <v>1.3889999999999998</v>
      </c>
      <c r="H69">
        <f t="shared" si="29"/>
        <v>1.6309999999999998</v>
      </c>
      <c r="I69">
        <f t="shared" si="29"/>
        <v>2.9203333333333332</v>
      </c>
      <c r="J69">
        <f t="shared" si="29"/>
        <v>2.0750000000000002</v>
      </c>
      <c r="K69">
        <f t="shared" si="29"/>
        <v>2.2443333333333335</v>
      </c>
      <c r="L69">
        <f t="shared" si="29"/>
        <v>6.0193333333333339</v>
      </c>
      <c r="M69">
        <f t="shared" si="29"/>
        <v>1.8213333333333335</v>
      </c>
      <c r="N69">
        <f t="shared" si="29"/>
        <v>1.915</v>
      </c>
      <c r="O69">
        <f t="shared" si="29"/>
        <v>1.2953333333333334</v>
      </c>
      <c r="P69">
        <f t="shared" si="29"/>
        <v>0.97099999999999997</v>
      </c>
      <c r="Q69">
        <f t="shared" si="29"/>
        <v>1.4836666666666667</v>
      </c>
      <c r="R69">
        <f t="shared" si="29"/>
        <v>2.415</v>
      </c>
      <c r="S69">
        <f t="shared" si="29"/>
        <v>3.6323333333333334</v>
      </c>
      <c r="T69">
        <f t="shared" si="29"/>
        <v>2.3559999999999999</v>
      </c>
      <c r="U69">
        <f t="shared" si="29"/>
        <v>2.1726666666666667</v>
      </c>
      <c r="V69">
        <f t="shared" si="29"/>
        <v>1.119</v>
      </c>
      <c r="W69">
        <f t="shared" si="29"/>
        <v>0.95</v>
      </c>
      <c r="X69">
        <f t="shared" si="29"/>
        <v>1.1759999999999999</v>
      </c>
      <c r="Y69">
        <f t="shared" si="29"/>
        <v>1.0009999999999999</v>
      </c>
      <c r="Z69">
        <f t="shared" si="29"/>
        <v>1.6319999999999999</v>
      </c>
      <c r="AA69">
        <f t="shared" si="29"/>
        <v>2.9580000000000002</v>
      </c>
      <c r="AB69">
        <f t="shared" si="29"/>
        <v>3.48</v>
      </c>
      <c r="AC69">
        <f t="shared" si="29"/>
        <v>3.335666666666667</v>
      </c>
      <c r="AD69">
        <f t="shared" si="29"/>
        <v>5.7460000000000004</v>
      </c>
      <c r="AE69">
        <f t="shared" si="29"/>
        <v>1.9633333333333334</v>
      </c>
      <c r="AF69">
        <f t="shared" si="29"/>
        <v>4.0586666666666664</v>
      </c>
      <c r="AG69">
        <f t="shared" si="29"/>
        <v>1.877</v>
      </c>
      <c r="AH69">
        <f t="shared" si="29"/>
        <v>1.2683333333333333</v>
      </c>
      <c r="AI69">
        <f t="shared" si="29"/>
        <v>0.83433333333333326</v>
      </c>
      <c r="AJ69">
        <f t="shared" si="29"/>
        <v>0.70666666666666667</v>
      </c>
      <c r="AK69">
        <f t="shared" si="29"/>
        <v>0.89699999999999991</v>
      </c>
      <c r="AL69">
        <f t="shared" si="29"/>
        <v>1.1166666666666667</v>
      </c>
      <c r="AM69">
        <f t="shared" si="29"/>
        <v>2.4076666666666671</v>
      </c>
      <c r="AN69">
        <f t="shared" si="29"/>
        <v>2.742</v>
      </c>
      <c r="AO69">
        <f t="shared" si="29"/>
        <v>1.851</v>
      </c>
      <c r="AP69">
        <f t="shared" si="29"/>
        <v>2.8</v>
      </c>
      <c r="AQ69">
        <f t="shared" si="29"/>
        <v>2.2986666666666666</v>
      </c>
      <c r="AR69">
        <f t="shared" si="29"/>
        <v>2.2509999999999999</v>
      </c>
      <c r="AS69">
        <f t="shared" si="29"/>
        <v>1.1876666666666666</v>
      </c>
      <c r="AT69">
        <f t="shared" si="29"/>
        <v>3.7406666666666664</v>
      </c>
      <c r="AU69">
        <f t="shared" si="29"/>
        <v>5.8633333333333342</v>
      </c>
      <c r="AV69">
        <f t="shared" si="29"/>
        <v>6.7006666666666668</v>
      </c>
      <c r="AW69">
        <f t="shared" si="29"/>
        <v>4.3373333333333326</v>
      </c>
      <c r="AX69">
        <f t="shared" si="29"/>
        <v>1.2670000000000001</v>
      </c>
      <c r="AY69">
        <f t="shared" si="29"/>
        <v>4.9446666666666665</v>
      </c>
      <c r="AZ69">
        <f t="shared" si="29"/>
        <v>1.5093333333333332</v>
      </c>
      <c r="BA69">
        <f t="shared" si="29"/>
        <v>1.4566666666666666</v>
      </c>
      <c r="BB69">
        <f t="shared" si="29"/>
        <v>1.7676666666666667</v>
      </c>
      <c r="BC69">
        <f t="shared" si="29"/>
        <v>0.99533333333333329</v>
      </c>
      <c r="BD69">
        <f t="shared" si="29"/>
        <v>1.5190000000000001</v>
      </c>
      <c r="BE69">
        <f t="shared" si="29"/>
        <v>1.8526666666666665</v>
      </c>
      <c r="BF69">
        <f t="shared" si="29"/>
        <v>2.4436666666666667</v>
      </c>
      <c r="BG69">
        <f t="shared" si="29"/>
        <v>2.81</v>
      </c>
      <c r="BH69">
        <f t="shared" si="29"/>
        <v>3.4289999999999998</v>
      </c>
      <c r="BI69">
        <f t="shared" si="29"/>
        <v>3.1753333333333336</v>
      </c>
      <c r="BJ69">
        <f t="shared" si="29"/>
        <v>1.7969999999999999</v>
      </c>
      <c r="BK69">
        <f t="shared" si="29"/>
        <v>1.2636666666666667</v>
      </c>
      <c r="BL69">
        <f t="shared" si="29"/>
        <v>1.8243333333333331</v>
      </c>
      <c r="BM69">
        <f t="shared" si="29"/>
        <v>1.694</v>
      </c>
      <c r="BN69">
        <f t="shared" si="29"/>
        <v>0.79133333333333322</v>
      </c>
      <c r="BO69">
        <f t="shared" si="28"/>
        <v>0.57633333333333336</v>
      </c>
      <c r="BP69">
        <f t="shared" si="28"/>
        <v>0.78533333333333333</v>
      </c>
      <c r="BQ69">
        <f t="shared" si="28"/>
        <v>0.70233333333333337</v>
      </c>
      <c r="BR69">
        <f t="shared" si="28"/>
        <v>1.0033333333333332</v>
      </c>
      <c r="BS69">
        <f t="shared" si="28"/>
        <v>0.81033333333333335</v>
      </c>
      <c r="BT69">
        <f t="shared" si="28"/>
        <v>0.94700000000000006</v>
      </c>
      <c r="BU69">
        <f t="shared" si="28"/>
        <v>1.2346666666666666</v>
      </c>
      <c r="BV69">
        <f t="shared" si="28"/>
        <v>0.56700000000000006</v>
      </c>
      <c r="BW69">
        <f t="shared" si="28"/>
        <v>0.52700000000000002</v>
      </c>
      <c r="BX69">
        <f t="shared" si="28"/>
        <v>0.3726666666666667</v>
      </c>
      <c r="BY69">
        <f t="shared" si="28"/>
        <v>0.78299999999999992</v>
      </c>
      <c r="BZ69">
        <f t="shared" si="28"/>
        <v>2.8216666666666668</v>
      </c>
      <c r="CA69">
        <f t="shared" si="28"/>
        <v>1.7003333333333333</v>
      </c>
      <c r="CB69">
        <f t="shared" si="28"/>
        <v>2.7126666666666668</v>
      </c>
      <c r="CC69">
        <f t="shared" si="28"/>
        <v>3.0173333333333332</v>
      </c>
    </row>
    <row r="70" spans="1:81" ht="15.75" x14ac:dyDescent="0.25">
      <c r="A70" s="2" t="s">
        <v>98</v>
      </c>
      <c r="B70">
        <f t="shared" si="22"/>
        <v>16.407</v>
      </c>
      <c r="C70">
        <f t="shared" si="29"/>
        <v>14.159333333333334</v>
      </c>
      <c r="D70">
        <f t="shared" si="29"/>
        <v>37.560666666666663</v>
      </c>
      <c r="E70">
        <f t="shared" si="29"/>
        <v>16.568333333333335</v>
      </c>
      <c r="F70">
        <f t="shared" si="29"/>
        <v>35.133333333333326</v>
      </c>
      <c r="G70">
        <f t="shared" si="29"/>
        <v>64.713666666666668</v>
      </c>
      <c r="H70">
        <f t="shared" si="29"/>
        <v>14.649666666666667</v>
      </c>
      <c r="I70">
        <f t="shared" si="29"/>
        <v>64.162666666666667</v>
      </c>
      <c r="J70">
        <f t="shared" si="29"/>
        <v>83.597333333333339</v>
      </c>
      <c r="K70">
        <f t="shared" si="29"/>
        <v>99.963999999999999</v>
      </c>
      <c r="L70">
        <f t="shared" si="29"/>
        <v>107.55266666666667</v>
      </c>
      <c r="M70">
        <f t="shared" si="29"/>
        <v>34.736333333333334</v>
      </c>
      <c r="N70">
        <f t="shared" si="29"/>
        <v>42.727333333333334</v>
      </c>
      <c r="O70">
        <f t="shared" si="29"/>
        <v>79.191999999999993</v>
      </c>
      <c r="P70">
        <f t="shared" si="29"/>
        <v>32.536666666666662</v>
      </c>
      <c r="Q70">
        <f t="shared" si="29"/>
        <v>25.579666666666668</v>
      </c>
      <c r="R70">
        <f t="shared" si="29"/>
        <v>9.4796666666666649</v>
      </c>
      <c r="S70">
        <f t="shared" si="29"/>
        <v>37.089666666666666</v>
      </c>
      <c r="T70">
        <f t="shared" si="29"/>
        <v>4.987333333333333</v>
      </c>
      <c r="U70">
        <f t="shared" si="29"/>
        <v>6.0026666666666664</v>
      </c>
      <c r="V70">
        <f t="shared" si="29"/>
        <v>40.82</v>
      </c>
      <c r="W70">
        <f t="shared" si="29"/>
        <v>19.559666666666665</v>
      </c>
      <c r="X70">
        <f t="shared" si="29"/>
        <v>123.28433333333334</v>
      </c>
      <c r="Y70">
        <f t="shared" si="29"/>
        <v>4.7323333333333331</v>
      </c>
      <c r="Z70">
        <f t="shared" si="29"/>
        <v>0.96599999999999997</v>
      </c>
      <c r="AA70">
        <f t="shared" si="29"/>
        <v>0.77700000000000002</v>
      </c>
      <c r="AB70">
        <f t="shared" si="29"/>
        <v>0.78066666666666662</v>
      </c>
      <c r="AC70">
        <f t="shared" si="29"/>
        <v>2.3203333333333336</v>
      </c>
      <c r="AD70">
        <f t="shared" si="29"/>
        <v>6.3983333333333334</v>
      </c>
      <c r="AE70">
        <f t="shared" si="29"/>
        <v>4.6080000000000005</v>
      </c>
      <c r="AF70">
        <f t="shared" si="29"/>
        <v>2.4409999999999998</v>
      </c>
      <c r="AG70">
        <f t="shared" si="29"/>
        <v>4.4706666666666672</v>
      </c>
      <c r="AH70">
        <f t="shared" si="29"/>
        <v>8.3563333333333336</v>
      </c>
      <c r="AI70">
        <f t="shared" si="29"/>
        <v>34.488666666666667</v>
      </c>
      <c r="AJ70">
        <f t="shared" si="29"/>
        <v>12.617999999999999</v>
      </c>
      <c r="AK70">
        <f t="shared" si="29"/>
        <v>11.467333333333334</v>
      </c>
      <c r="AL70">
        <f t="shared" si="29"/>
        <v>23.403666666666666</v>
      </c>
      <c r="AM70">
        <f t="shared" si="29"/>
        <v>24.452999999999999</v>
      </c>
      <c r="AN70">
        <f t="shared" si="29"/>
        <v>38.50566666666667</v>
      </c>
      <c r="AO70">
        <f t="shared" si="29"/>
        <v>16.674999999999997</v>
      </c>
      <c r="AP70">
        <f t="shared" si="29"/>
        <v>2.7856666666666667</v>
      </c>
      <c r="AQ70">
        <f t="shared" si="29"/>
        <v>63.477333333333327</v>
      </c>
      <c r="AR70">
        <f t="shared" si="29"/>
        <v>50.471999999999994</v>
      </c>
      <c r="AS70">
        <f t="shared" si="29"/>
        <v>97.180666666666681</v>
      </c>
      <c r="AT70">
        <f t="shared" si="29"/>
        <v>5.0476666666666663</v>
      </c>
      <c r="AU70">
        <f t="shared" si="29"/>
        <v>38.068666666666665</v>
      </c>
      <c r="AV70">
        <f t="shared" si="29"/>
        <v>21.984999999999999</v>
      </c>
      <c r="AW70">
        <f t="shared" si="29"/>
        <v>17.005666666666666</v>
      </c>
      <c r="AX70">
        <f t="shared" si="29"/>
        <v>77.783333333333331</v>
      </c>
      <c r="AY70">
        <f t="shared" si="29"/>
        <v>51.839666666666666</v>
      </c>
      <c r="AZ70">
        <f t="shared" si="29"/>
        <v>29.936666666666667</v>
      </c>
      <c r="BA70">
        <f t="shared" si="29"/>
        <v>44.782666666666664</v>
      </c>
      <c r="BB70">
        <f t="shared" si="29"/>
        <v>48.613999999999997</v>
      </c>
      <c r="BC70">
        <f t="shared" si="29"/>
        <v>15.044333333333332</v>
      </c>
      <c r="BD70">
        <f t="shared" si="29"/>
        <v>17.663333333333334</v>
      </c>
      <c r="BE70">
        <f t="shared" si="29"/>
        <v>29.531666666666663</v>
      </c>
      <c r="BF70">
        <f t="shared" si="29"/>
        <v>16.365666666666666</v>
      </c>
      <c r="BG70">
        <f t="shared" si="29"/>
        <v>17.901333333333334</v>
      </c>
      <c r="BH70">
        <f t="shared" si="29"/>
        <v>11.722333333333333</v>
      </c>
      <c r="BI70">
        <f t="shared" si="29"/>
        <v>9.1216666666666661</v>
      </c>
      <c r="BJ70">
        <f t="shared" si="29"/>
        <v>19.772000000000002</v>
      </c>
      <c r="BK70">
        <f t="shared" si="29"/>
        <v>24.356666666666666</v>
      </c>
      <c r="BL70">
        <f t="shared" si="29"/>
        <v>36.537666666666667</v>
      </c>
      <c r="BM70">
        <f t="shared" si="29"/>
        <v>15.845999999999998</v>
      </c>
      <c r="BN70">
        <f t="shared" si="29"/>
        <v>31.513999999999999</v>
      </c>
      <c r="BO70">
        <f t="shared" si="28"/>
        <v>22.429666666666666</v>
      </c>
      <c r="BP70">
        <f t="shared" si="28"/>
        <v>34.721333333333334</v>
      </c>
      <c r="BQ70">
        <f t="shared" si="28"/>
        <v>53.678000000000004</v>
      </c>
      <c r="BR70">
        <f t="shared" si="28"/>
        <v>2.3776666666666664</v>
      </c>
      <c r="BS70">
        <f t="shared" si="28"/>
        <v>3.781333333333333</v>
      </c>
      <c r="BT70">
        <f t="shared" si="28"/>
        <v>2.6196666666666664</v>
      </c>
      <c r="BU70">
        <f t="shared" si="28"/>
        <v>7.5526666666666671</v>
      </c>
      <c r="BV70">
        <f t="shared" si="28"/>
        <v>36.480666666666671</v>
      </c>
      <c r="BW70">
        <f t="shared" si="28"/>
        <v>54.115666666666669</v>
      </c>
      <c r="BX70">
        <f t="shared" si="28"/>
        <v>56.73233333333333</v>
      </c>
      <c r="BY70">
        <f t="shared" si="28"/>
        <v>32.727666666666671</v>
      </c>
      <c r="BZ70">
        <f t="shared" si="28"/>
        <v>15.323000000000002</v>
      </c>
      <c r="CA70">
        <f t="shared" si="28"/>
        <v>21.212</v>
      </c>
      <c r="CB70">
        <f t="shared" si="28"/>
        <v>92.275666666666652</v>
      </c>
      <c r="CC70">
        <f t="shared" si="28"/>
        <v>20.132333333333332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320E-4834-474D-8798-1BE41D7866BB}">
  <dimension ref="A1:CC38"/>
  <sheetViews>
    <sheetView workbookViewId="0">
      <selection activeCell="I32" sqref="I32"/>
    </sheetView>
  </sheetViews>
  <sheetFormatPr defaultRowHeight="15" x14ac:dyDescent="0.25"/>
  <cols>
    <col min="1" max="1" width="21" customWidth="1"/>
  </cols>
  <sheetData>
    <row r="1" spans="1:81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15.75" x14ac:dyDescent="0.25">
      <c r="A2" s="7" t="s">
        <v>81</v>
      </c>
      <c r="B2" s="8">
        <v>38.101333333333336</v>
      </c>
      <c r="C2" s="8">
        <v>84.707333333333338</v>
      </c>
      <c r="D2" s="8">
        <v>75.882999999999996</v>
      </c>
      <c r="E2" s="8">
        <v>107.233</v>
      </c>
      <c r="F2" s="8">
        <v>84.251333333333335</v>
      </c>
      <c r="G2" s="8">
        <v>54.922333333333327</v>
      </c>
      <c r="H2" s="8">
        <v>87.278666666666666</v>
      </c>
      <c r="I2" s="8">
        <v>66.558999999999997</v>
      </c>
      <c r="J2" s="8">
        <v>68.378000000000014</v>
      </c>
      <c r="K2" s="8">
        <v>33.401000000000003</v>
      </c>
      <c r="L2" s="8">
        <v>70.108333333333348</v>
      </c>
      <c r="M2" s="8">
        <v>49.829333333333338</v>
      </c>
      <c r="N2" s="8">
        <v>44.199333333333335</v>
      </c>
      <c r="O2" s="8">
        <v>63.753999999999991</v>
      </c>
      <c r="P2" s="8">
        <v>89.115666666666669</v>
      </c>
      <c r="Q2" s="8">
        <v>196.738</v>
      </c>
      <c r="R2" s="8">
        <v>207.43199999999999</v>
      </c>
      <c r="S2" s="8">
        <v>303.60033333333331</v>
      </c>
      <c r="T2" s="8">
        <v>204.43333333333334</v>
      </c>
      <c r="U2" s="8">
        <v>181.12666666666667</v>
      </c>
      <c r="V2" s="8">
        <v>64.538333333333341</v>
      </c>
      <c r="W2" s="8">
        <v>18.747666666666667</v>
      </c>
      <c r="X2" s="8">
        <v>18.342000000000002</v>
      </c>
      <c r="Y2" s="8">
        <v>22.582333333333334</v>
      </c>
      <c r="Z2" s="8">
        <v>29.934333333333331</v>
      </c>
      <c r="AA2" s="8">
        <v>57.983333333333334</v>
      </c>
      <c r="AB2" s="8">
        <v>36.248666666666665</v>
      </c>
      <c r="AC2" s="8">
        <v>45.302</v>
      </c>
      <c r="AD2" s="8">
        <v>49.797333333333334</v>
      </c>
      <c r="AE2" s="8">
        <v>78.09</v>
      </c>
      <c r="AF2" s="8">
        <v>56.223666666666666</v>
      </c>
      <c r="AG2" s="8">
        <v>51.472999999999999</v>
      </c>
      <c r="AH2" s="8">
        <v>46.573333333333338</v>
      </c>
      <c r="AI2" s="8">
        <v>29.550666666666665</v>
      </c>
      <c r="AJ2" s="8">
        <v>58.419333333333327</v>
      </c>
      <c r="AK2" s="8">
        <v>75.959666666666664</v>
      </c>
      <c r="AL2" s="8">
        <v>42.054666666666662</v>
      </c>
      <c r="AM2" s="8">
        <v>100.96866666666666</v>
      </c>
      <c r="AN2" s="8">
        <v>90.726333333333343</v>
      </c>
      <c r="AO2" s="8">
        <v>93.831333333333333</v>
      </c>
      <c r="AP2" s="8">
        <v>103.37533333333333</v>
      </c>
      <c r="AQ2" s="8">
        <v>128.25699999999998</v>
      </c>
      <c r="AR2" s="8">
        <v>121.64700000000001</v>
      </c>
      <c r="AS2" s="8">
        <v>158.245</v>
      </c>
      <c r="AT2" s="8">
        <v>22.729333333333333</v>
      </c>
      <c r="AU2" s="8">
        <v>37.246333333333332</v>
      </c>
      <c r="AV2" s="8">
        <v>45.798999999999999</v>
      </c>
      <c r="AW2" s="8">
        <v>34.462333333333341</v>
      </c>
      <c r="AX2" s="8">
        <v>43.26166666666667</v>
      </c>
      <c r="AY2" s="8">
        <v>44.093000000000004</v>
      </c>
      <c r="AZ2" s="8">
        <v>41.30766666666667</v>
      </c>
      <c r="BA2" s="8">
        <v>61.366666666666674</v>
      </c>
      <c r="BB2" s="8">
        <v>331.78566666666671</v>
      </c>
      <c r="BC2" s="8">
        <v>192.91100000000003</v>
      </c>
      <c r="BD2" s="8">
        <v>185.91</v>
      </c>
      <c r="BE2" s="8">
        <v>23.345666666666666</v>
      </c>
      <c r="BF2" s="8">
        <v>64.655666666666662</v>
      </c>
      <c r="BG2" s="8">
        <v>130.61933333333334</v>
      </c>
      <c r="BH2" s="8">
        <v>113.55566666666667</v>
      </c>
      <c r="BI2" s="8">
        <v>113.20633333333333</v>
      </c>
      <c r="BJ2" s="8">
        <v>29.992666666666668</v>
      </c>
      <c r="BK2" s="8">
        <v>106.354</v>
      </c>
      <c r="BL2" s="8">
        <v>70.438666666666663</v>
      </c>
      <c r="BM2" s="8">
        <v>47.268999999999998</v>
      </c>
      <c r="BN2" s="8">
        <v>333.51566666666673</v>
      </c>
      <c r="BO2" s="8">
        <v>22.473333333333333</v>
      </c>
      <c r="BP2" s="8">
        <v>56.594333333333331</v>
      </c>
      <c r="BQ2" s="8">
        <v>53.966666666666661</v>
      </c>
      <c r="BR2" s="8">
        <v>159.77199999999999</v>
      </c>
      <c r="BS2" s="8">
        <v>107.02333333333334</v>
      </c>
      <c r="BT2" s="8">
        <v>130.48666666666668</v>
      </c>
      <c r="BU2" s="8">
        <v>61.544666666666664</v>
      </c>
      <c r="BV2" s="8">
        <v>148.09466666666668</v>
      </c>
      <c r="BW2" s="8">
        <v>77.906666666666666</v>
      </c>
      <c r="BX2" s="8">
        <v>96.221000000000004</v>
      </c>
      <c r="BY2" s="8">
        <v>64.212000000000003</v>
      </c>
      <c r="BZ2" s="8">
        <v>113.47600000000001</v>
      </c>
      <c r="CA2" s="8">
        <v>72.405666666666662</v>
      </c>
      <c r="CB2" s="8">
        <v>85.837666666666664</v>
      </c>
      <c r="CC2" s="8">
        <v>59.99966666666667</v>
      </c>
    </row>
    <row r="3" spans="1:81" ht="15.75" x14ac:dyDescent="0.25">
      <c r="A3" s="7" t="s">
        <v>82</v>
      </c>
      <c r="B3" s="8">
        <v>28.039333333333332</v>
      </c>
      <c r="C3" s="8">
        <v>34.985666666666667</v>
      </c>
      <c r="D3" s="8">
        <v>30.422000000000001</v>
      </c>
      <c r="E3" s="8">
        <v>30.146999999999998</v>
      </c>
      <c r="F3" s="8">
        <v>14.208</v>
      </c>
      <c r="G3" s="8">
        <v>3.2316666666666669</v>
      </c>
      <c r="H3" s="8">
        <v>24.407666666666664</v>
      </c>
      <c r="I3" s="8">
        <v>17.878666666666668</v>
      </c>
      <c r="J3" s="8">
        <v>23.471000000000004</v>
      </c>
      <c r="K3" s="8">
        <v>31.773333333333333</v>
      </c>
      <c r="L3" s="8">
        <v>48.116999999999997</v>
      </c>
      <c r="M3" s="8" t="s">
        <v>83</v>
      </c>
      <c r="N3" s="8" t="s">
        <v>83</v>
      </c>
      <c r="O3" s="8" t="s">
        <v>83</v>
      </c>
      <c r="P3" s="8" t="s">
        <v>83</v>
      </c>
      <c r="Q3" s="8" t="s">
        <v>83</v>
      </c>
      <c r="R3" s="8" t="s">
        <v>83</v>
      </c>
      <c r="S3" s="8" t="s">
        <v>83</v>
      </c>
      <c r="T3" s="8" t="s">
        <v>83</v>
      </c>
      <c r="U3" s="8">
        <v>35.143333333333331</v>
      </c>
      <c r="V3" s="8" t="s">
        <v>83</v>
      </c>
      <c r="W3" s="8" t="s">
        <v>83</v>
      </c>
      <c r="X3" s="8" t="s">
        <v>83</v>
      </c>
      <c r="Y3" s="8">
        <v>25.044333333333334</v>
      </c>
      <c r="Z3" s="8">
        <v>12.257</v>
      </c>
      <c r="AA3" s="8">
        <v>19.49966666666667</v>
      </c>
      <c r="AB3" s="8">
        <v>5.1956666666666669</v>
      </c>
      <c r="AC3" s="8">
        <v>6.4056666666666668</v>
      </c>
      <c r="AD3" s="8" t="s">
        <v>83</v>
      </c>
      <c r="AE3" s="8" t="s">
        <v>83</v>
      </c>
      <c r="AF3" s="8" t="s">
        <v>83</v>
      </c>
      <c r="AG3" s="8" t="s">
        <v>83</v>
      </c>
      <c r="AH3" s="8" t="s">
        <v>83</v>
      </c>
      <c r="AI3" s="8" t="s">
        <v>83</v>
      </c>
      <c r="AJ3" s="8" t="s">
        <v>83</v>
      </c>
      <c r="AK3" s="8" t="s">
        <v>83</v>
      </c>
      <c r="AL3" s="8" t="s">
        <v>83</v>
      </c>
      <c r="AM3" s="8" t="s">
        <v>83</v>
      </c>
      <c r="AN3" s="8" t="s">
        <v>83</v>
      </c>
      <c r="AO3" s="8" t="s">
        <v>83</v>
      </c>
      <c r="AP3" s="8" t="s">
        <v>83</v>
      </c>
      <c r="AQ3" s="8" t="s">
        <v>83</v>
      </c>
      <c r="AR3" s="8" t="s">
        <v>83</v>
      </c>
      <c r="AS3" s="8" t="s">
        <v>83</v>
      </c>
      <c r="AT3" s="8" t="s">
        <v>83</v>
      </c>
      <c r="AU3" s="8" t="s">
        <v>83</v>
      </c>
      <c r="AV3" s="8" t="s">
        <v>83</v>
      </c>
      <c r="AW3" s="8" t="s">
        <v>83</v>
      </c>
      <c r="AX3" s="8" t="s">
        <v>83</v>
      </c>
      <c r="AY3" s="8">
        <v>0</v>
      </c>
      <c r="AZ3" s="8">
        <v>23.632666666666665</v>
      </c>
      <c r="BA3" s="8">
        <v>50.99</v>
      </c>
      <c r="BB3" s="8" t="s">
        <v>83</v>
      </c>
      <c r="BC3" s="8" t="s">
        <v>83</v>
      </c>
      <c r="BD3" s="8" t="s">
        <v>83</v>
      </c>
      <c r="BE3" s="8" t="s">
        <v>83</v>
      </c>
      <c r="BF3" s="8" t="s">
        <v>83</v>
      </c>
      <c r="BG3" s="8">
        <v>0</v>
      </c>
      <c r="BH3" s="8" t="s">
        <v>83</v>
      </c>
      <c r="BI3" s="8" t="s">
        <v>83</v>
      </c>
      <c r="BJ3" s="8" t="s">
        <v>83</v>
      </c>
      <c r="BK3" s="8">
        <v>20.932999999999996</v>
      </c>
      <c r="BL3" s="8" t="s">
        <v>83</v>
      </c>
      <c r="BM3" s="8" t="s">
        <v>83</v>
      </c>
      <c r="BN3" s="8">
        <v>10.958666666666668</v>
      </c>
      <c r="BO3" s="8">
        <v>4.3600000000000003</v>
      </c>
      <c r="BP3" s="8">
        <v>12.287333333333333</v>
      </c>
      <c r="BQ3" s="8">
        <v>4.7050000000000001</v>
      </c>
      <c r="BR3" s="8" t="s">
        <v>83</v>
      </c>
      <c r="BS3" s="8" t="s">
        <v>83</v>
      </c>
      <c r="BT3" s="8" t="s">
        <v>83</v>
      </c>
      <c r="BU3" s="8" t="s">
        <v>83</v>
      </c>
      <c r="BV3" s="8" t="s">
        <v>83</v>
      </c>
      <c r="BW3" s="8" t="s">
        <v>83</v>
      </c>
      <c r="BX3" s="8" t="s">
        <v>83</v>
      </c>
      <c r="BY3" s="8" t="s">
        <v>83</v>
      </c>
      <c r="BZ3" s="8" t="s">
        <v>83</v>
      </c>
      <c r="CA3" s="8" t="s">
        <v>83</v>
      </c>
      <c r="CB3" s="8" t="s">
        <v>83</v>
      </c>
      <c r="CC3" s="8" t="s">
        <v>83</v>
      </c>
    </row>
    <row r="4" spans="1:81" ht="15.75" x14ac:dyDescent="0.25">
      <c r="A4" s="7" t="s">
        <v>85</v>
      </c>
      <c r="B4" s="8" t="s">
        <v>83</v>
      </c>
      <c r="C4" s="8">
        <v>6.8906666666666663</v>
      </c>
      <c r="D4" s="8">
        <v>1.0223333333333333</v>
      </c>
      <c r="E4" s="8">
        <v>0.749</v>
      </c>
      <c r="F4" s="8" t="s">
        <v>83</v>
      </c>
      <c r="G4" s="8" t="s">
        <v>83</v>
      </c>
      <c r="H4" s="8" t="s">
        <v>83</v>
      </c>
      <c r="I4" s="8">
        <v>7.1550000000000011</v>
      </c>
      <c r="J4" s="8" t="s">
        <v>83</v>
      </c>
      <c r="K4" s="8" t="s">
        <v>83</v>
      </c>
      <c r="L4" s="8" t="s">
        <v>83</v>
      </c>
      <c r="M4" s="8">
        <v>5.6516666666666664</v>
      </c>
      <c r="N4" s="8" t="s">
        <v>83</v>
      </c>
      <c r="O4" s="8" t="s">
        <v>83</v>
      </c>
      <c r="P4" s="8" t="s">
        <v>83</v>
      </c>
      <c r="Q4" s="8">
        <v>2.8256666666666668</v>
      </c>
      <c r="R4" s="8" t="s">
        <v>83</v>
      </c>
      <c r="S4" s="8">
        <v>4.9106666666666667</v>
      </c>
      <c r="T4" s="8" t="s">
        <v>83</v>
      </c>
      <c r="U4" s="8" t="s">
        <v>83</v>
      </c>
      <c r="V4" s="8" t="s">
        <v>83</v>
      </c>
      <c r="W4" s="8">
        <v>3.4846666666666666</v>
      </c>
      <c r="X4" s="8" t="s">
        <v>83</v>
      </c>
      <c r="Y4" s="8" t="s">
        <v>83</v>
      </c>
      <c r="Z4" s="8" t="s">
        <v>83</v>
      </c>
      <c r="AA4" s="8">
        <v>1.9613333333333336</v>
      </c>
      <c r="AB4" s="8" t="s">
        <v>83</v>
      </c>
      <c r="AC4" s="8" t="s">
        <v>83</v>
      </c>
      <c r="AD4" s="8" t="s">
        <v>83</v>
      </c>
      <c r="AE4" s="8">
        <v>3.4246666666666665</v>
      </c>
      <c r="AF4" s="8" t="s">
        <v>83</v>
      </c>
      <c r="AG4" s="8" t="s">
        <v>83</v>
      </c>
      <c r="AH4" s="8" t="s">
        <v>83</v>
      </c>
      <c r="AI4" s="8" t="s">
        <v>83</v>
      </c>
      <c r="AJ4" s="8" t="s">
        <v>83</v>
      </c>
      <c r="AK4" s="8">
        <v>3.6806666666666668</v>
      </c>
      <c r="AL4" s="8" t="s">
        <v>83</v>
      </c>
      <c r="AM4" s="8" t="s">
        <v>83</v>
      </c>
      <c r="AN4" s="8" t="s">
        <v>83</v>
      </c>
      <c r="AO4" s="8" t="s">
        <v>83</v>
      </c>
      <c r="AP4" s="8" t="s">
        <v>83</v>
      </c>
      <c r="AQ4" s="8">
        <v>3.6343333333333332</v>
      </c>
      <c r="AR4" s="8" t="s">
        <v>83</v>
      </c>
      <c r="AS4" s="8" t="s">
        <v>83</v>
      </c>
      <c r="AT4" s="8" t="s">
        <v>83</v>
      </c>
      <c r="AU4" s="8" t="s">
        <v>83</v>
      </c>
      <c r="AV4" s="8" t="s">
        <v>83</v>
      </c>
      <c r="AW4" s="8">
        <v>3.5329999999999999</v>
      </c>
      <c r="AX4" s="8" t="s">
        <v>83</v>
      </c>
      <c r="AY4" s="8">
        <v>5.359</v>
      </c>
      <c r="AZ4" s="8">
        <v>3.3649999999999998</v>
      </c>
      <c r="BA4" s="8" t="s">
        <v>83</v>
      </c>
      <c r="BB4" s="8" t="s">
        <v>83</v>
      </c>
      <c r="BC4" s="8" t="s">
        <v>83</v>
      </c>
      <c r="BD4" s="8" t="s">
        <v>83</v>
      </c>
      <c r="BE4" s="8">
        <v>1.7193333333333334</v>
      </c>
      <c r="BF4" s="8" t="s">
        <v>83</v>
      </c>
      <c r="BG4" s="8">
        <v>2.9319999999999999</v>
      </c>
      <c r="BH4" s="8" t="s">
        <v>83</v>
      </c>
      <c r="BI4" s="8" t="s">
        <v>83</v>
      </c>
      <c r="BJ4" s="8" t="s">
        <v>83</v>
      </c>
      <c r="BK4" s="8">
        <v>11.645666666666667</v>
      </c>
      <c r="BL4" s="8" t="s">
        <v>83</v>
      </c>
      <c r="BM4" s="8" t="s">
        <v>83</v>
      </c>
      <c r="BN4" s="8" t="s">
        <v>83</v>
      </c>
      <c r="BO4" s="8">
        <v>1.5786666666666667</v>
      </c>
      <c r="BP4" s="8" t="s">
        <v>83</v>
      </c>
      <c r="BQ4" s="8" t="s">
        <v>83</v>
      </c>
      <c r="BR4" s="8" t="s">
        <v>83</v>
      </c>
      <c r="BS4" s="8" t="s">
        <v>83</v>
      </c>
      <c r="BT4" s="8" t="s">
        <v>83</v>
      </c>
      <c r="BU4" s="8">
        <v>2.4246666666666665</v>
      </c>
      <c r="BV4" s="8" t="s">
        <v>83</v>
      </c>
      <c r="BW4" s="8">
        <v>5.9716666666666667</v>
      </c>
      <c r="BX4" s="8" t="s">
        <v>83</v>
      </c>
      <c r="BY4" s="8" t="s">
        <v>83</v>
      </c>
      <c r="BZ4" s="8" t="s">
        <v>83</v>
      </c>
      <c r="CA4" s="8">
        <v>3.2933333333333334</v>
      </c>
      <c r="CB4" s="8" t="s">
        <v>83</v>
      </c>
      <c r="CC4" s="8" t="s">
        <v>83</v>
      </c>
    </row>
    <row r="5" spans="1:81" ht="15.75" x14ac:dyDescent="0.25">
      <c r="A5" s="7" t="s">
        <v>86</v>
      </c>
      <c r="B5" s="8" t="s">
        <v>83</v>
      </c>
      <c r="C5" s="8">
        <v>53.608999999999995</v>
      </c>
      <c r="D5" s="8" t="s">
        <v>83</v>
      </c>
      <c r="E5" s="8" t="s">
        <v>83</v>
      </c>
      <c r="F5" s="8" t="s">
        <v>83</v>
      </c>
      <c r="G5" s="8" t="s">
        <v>83</v>
      </c>
      <c r="H5" s="8" t="s">
        <v>83</v>
      </c>
      <c r="I5" s="8">
        <v>81.586333333333329</v>
      </c>
      <c r="J5" s="8" t="s">
        <v>83</v>
      </c>
      <c r="K5" s="8" t="s">
        <v>83</v>
      </c>
      <c r="L5" s="8" t="s">
        <v>83</v>
      </c>
      <c r="M5" s="8">
        <v>43.678666666666672</v>
      </c>
      <c r="N5" s="8" t="s">
        <v>83</v>
      </c>
      <c r="O5" s="8" t="s">
        <v>83</v>
      </c>
      <c r="P5" s="8" t="s">
        <v>83</v>
      </c>
      <c r="Q5" s="8">
        <v>24.548333333333336</v>
      </c>
      <c r="R5" s="8" t="s">
        <v>83</v>
      </c>
      <c r="S5" s="8">
        <v>88.976333333333343</v>
      </c>
      <c r="T5" s="8" t="s">
        <v>83</v>
      </c>
      <c r="U5" s="8" t="s">
        <v>83</v>
      </c>
      <c r="V5" s="8" t="s">
        <v>83</v>
      </c>
      <c r="W5" s="8">
        <v>13.803000000000001</v>
      </c>
      <c r="X5" s="8" t="s">
        <v>83</v>
      </c>
      <c r="Y5" s="8" t="s">
        <v>83</v>
      </c>
      <c r="Z5" s="8" t="s">
        <v>83</v>
      </c>
      <c r="AA5" s="8">
        <v>15.349666666666666</v>
      </c>
      <c r="AB5" s="8" t="s">
        <v>83</v>
      </c>
      <c r="AC5" s="8" t="s">
        <v>83</v>
      </c>
      <c r="AD5" s="8" t="s">
        <v>83</v>
      </c>
      <c r="AE5" s="8">
        <v>26.672000000000001</v>
      </c>
      <c r="AF5" s="8" t="s">
        <v>83</v>
      </c>
      <c r="AG5" s="8" t="s">
        <v>83</v>
      </c>
      <c r="AH5" s="8" t="s">
        <v>83</v>
      </c>
      <c r="AI5" s="8" t="s">
        <v>83</v>
      </c>
      <c r="AJ5" s="8" t="s">
        <v>83</v>
      </c>
      <c r="AK5" s="8">
        <v>24.993666666666666</v>
      </c>
      <c r="AL5" s="8" t="s">
        <v>83</v>
      </c>
      <c r="AM5" s="8" t="s">
        <v>83</v>
      </c>
      <c r="AN5" s="8" t="s">
        <v>83</v>
      </c>
      <c r="AO5" s="8" t="s">
        <v>83</v>
      </c>
      <c r="AP5" s="8" t="s">
        <v>83</v>
      </c>
      <c r="AQ5" s="8">
        <v>56.769999999999996</v>
      </c>
      <c r="AR5" s="8" t="s">
        <v>83</v>
      </c>
      <c r="AS5" s="8" t="s">
        <v>83</v>
      </c>
      <c r="AT5" s="8" t="s">
        <v>83</v>
      </c>
      <c r="AU5" s="8" t="s">
        <v>83</v>
      </c>
      <c r="AV5" s="8" t="s">
        <v>83</v>
      </c>
      <c r="AW5" s="8">
        <v>55.650666666666659</v>
      </c>
      <c r="AX5" s="8" t="s">
        <v>83</v>
      </c>
      <c r="AY5" s="8">
        <v>104.843</v>
      </c>
      <c r="AZ5" s="8" t="s">
        <v>83</v>
      </c>
      <c r="BA5" s="8" t="s">
        <v>83</v>
      </c>
      <c r="BB5" s="8" t="s">
        <v>83</v>
      </c>
      <c r="BC5" s="8" t="s">
        <v>83</v>
      </c>
      <c r="BD5" s="8" t="s">
        <v>83</v>
      </c>
      <c r="BE5" s="8">
        <v>8.2956666666666656</v>
      </c>
      <c r="BF5" s="8" t="s">
        <v>83</v>
      </c>
      <c r="BG5" s="8">
        <v>30.155000000000001</v>
      </c>
      <c r="BH5" s="8" t="s">
        <v>83</v>
      </c>
      <c r="BI5" s="8" t="s">
        <v>83</v>
      </c>
      <c r="BJ5" s="8" t="s">
        <v>83</v>
      </c>
      <c r="BK5" s="8">
        <v>44.615666666666662</v>
      </c>
      <c r="BL5" s="8" t="s">
        <v>83</v>
      </c>
      <c r="BM5" s="8" t="s">
        <v>83</v>
      </c>
      <c r="BN5" s="8" t="s">
        <v>83</v>
      </c>
      <c r="BO5" s="8">
        <v>15.600333333333333</v>
      </c>
      <c r="BP5" s="8" t="s">
        <v>83</v>
      </c>
      <c r="BQ5" s="8" t="s">
        <v>83</v>
      </c>
      <c r="BR5" s="8" t="s">
        <v>83</v>
      </c>
      <c r="BS5" s="8" t="s">
        <v>83</v>
      </c>
      <c r="BT5" s="8" t="s">
        <v>83</v>
      </c>
      <c r="BU5" s="8">
        <v>2.160333333333333</v>
      </c>
      <c r="BV5" s="8" t="s">
        <v>83</v>
      </c>
      <c r="BW5" s="8">
        <v>42.988666666666667</v>
      </c>
      <c r="BX5" s="8" t="s">
        <v>83</v>
      </c>
      <c r="BY5" s="8" t="s">
        <v>83</v>
      </c>
      <c r="BZ5" s="8" t="s">
        <v>83</v>
      </c>
      <c r="CA5" s="8">
        <v>15.226999999999999</v>
      </c>
      <c r="CB5" s="8" t="s">
        <v>83</v>
      </c>
      <c r="CC5" s="8" t="s">
        <v>83</v>
      </c>
    </row>
    <row r="6" spans="1:81" ht="15.75" x14ac:dyDescent="0.25">
      <c r="A6" s="7" t="s">
        <v>87</v>
      </c>
      <c r="B6" s="8" t="s">
        <v>83</v>
      </c>
      <c r="C6" s="8">
        <v>3.1739999999999999</v>
      </c>
      <c r="D6" s="8" t="s">
        <v>83</v>
      </c>
      <c r="E6" s="8" t="s">
        <v>83</v>
      </c>
      <c r="F6" s="8" t="s">
        <v>83</v>
      </c>
      <c r="G6" s="8" t="s">
        <v>83</v>
      </c>
      <c r="H6" s="8" t="s">
        <v>83</v>
      </c>
      <c r="I6" s="8">
        <v>7.3166666666666664</v>
      </c>
      <c r="J6" s="8" t="s">
        <v>83</v>
      </c>
      <c r="K6" s="8" t="s">
        <v>83</v>
      </c>
      <c r="L6" s="8" t="s">
        <v>83</v>
      </c>
      <c r="M6" s="8">
        <v>4.4116666666666671</v>
      </c>
      <c r="N6" s="8" t="s">
        <v>83</v>
      </c>
      <c r="O6" s="8" t="s">
        <v>83</v>
      </c>
      <c r="P6" s="8" t="s">
        <v>83</v>
      </c>
      <c r="Q6" s="8">
        <v>2.0770000000000004</v>
      </c>
      <c r="R6" s="8" t="s">
        <v>83</v>
      </c>
      <c r="S6" s="8">
        <v>8.9039999999999999</v>
      </c>
      <c r="T6" s="8" t="s">
        <v>83</v>
      </c>
      <c r="U6" s="8" t="s">
        <v>83</v>
      </c>
      <c r="V6" s="8" t="s">
        <v>83</v>
      </c>
      <c r="W6" s="8">
        <v>1.4166666666666667</v>
      </c>
      <c r="X6" s="8" t="s">
        <v>83</v>
      </c>
      <c r="Y6" s="8" t="s">
        <v>83</v>
      </c>
      <c r="Z6" s="8" t="s">
        <v>83</v>
      </c>
      <c r="AA6" s="8">
        <v>1.1703333333333334</v>
      </c>
      <c r="AB6" s="8" t="s">
        <v>83</v>
      </c>
      <c r="AC6" s="8" t="s">
        <v>83</v>
      </c>
      <c r="AD6" s="8" t="s">
        <v>83</v>
      </c>
      <c r="AE6" s="8">
        <v>6.458333333333333</v>
      </c>
      <c r="AF6" s="8" t="s">
        <v>83</v>
      </c>
      <c r="AG6" s="8" t="s">
        <v>83</v>
      </c>
      <c r="AH6" s="8" t="s">
        <v>83</v>
      </c>
      <c r="AI6" s="8" t="s">
        <v>83</v>
      </c>
      <c r="AJ6" s="8" t="s">
        <v>83</v>
      </c>
      <c r="AK6" s="8">
        <v>2.5430000000000001</v>
      </c>
      <c r="AL6" s="8">
        <v>0.67</v>
      </c>
      <c r="AM6" s="8">
        <v>0.49233333333333335</v>
      </c>
      <c r="AN6" s="8">
        <v>1.3896666666666666</v>
      </c>
      <c r="AO6" s="8" t="s">
        <v>83</v>
      </c>
      <c r="AP6" s="8" t="s">
        <v>83</v>
      </c>
      <c r="AQ6" s="8">
        <v>5.8973333333333331</v>
      </c>
      <c r="AR6" s="8" t="s">
        <v>83</v>
      </c>
      <c r="AS6" s="8" t="s">
        <v>83</v>
      </c>
      <c r="AT6" s="8" t="s">
        <v>83</v>
      </c>
      <c r="AU6" s="8" t="s">
        <v>83</v>
      </c>
      <c r="AV6" s="8" t="s">
        <v>83</v>
      </c>
      <c r="AW6" s="8">
        <v>6.1526666666666667</v>
      </c>
      <c r="AX6" s="8" t="s">
        <v>83</v>
      </c>
      <c r="AY6" s="8">
        <v>5.0723333333333329</v>
      </c>
      <c r="AZ6" s="8" t="s">
        <v>83</v>
      </c>
      <c r="BA6" s="8" t="s">
        <v>83</v>
      </c>
      <c r="BB6" s="8" t="s">
        <v>83</v>
      </c>
      <c r="BC6" s="8" t="s">
        <v>83</v>
      </c>
      <c r="BD6" s="8" t="s">
        <v>83</v>
      </c>
      <c r="BE6" s="8">
        <v>0.77399999999999991</v>
      </c>
      <c r="BF6" s="8" t="s">
        <v>83</v>
      </c>
      <c r="BG6" s="8">
        <v>3.2376666666666667</v>
      </c>
      <c r="BH6" s="8" t="s">
        <v>83</v>
      </c>
      <c r="BI6" s="8" t="s">
        <v>83</v>
      </c>
      <c r="BJ6" s="8" t="s">
        <v>83</v>
      </c>
      <c r="BK6" s="8">
        <v>5.7776666666666667</v>
      </c>
      <c r="BL6" s="8" t="s">
        <v>83</v>
      </c>
      <c r="BM6" s="8" t="s">
        <v>83</v>
      </c>
      <c r="BN6" s="8" t="s">
        <v>83</v>
      </c>
      <c r="BO6" s="8">
        <v>1.2953333333333334</v>
      </c>
      <c r="BP6" s="8" t="s">
        <v>83</v>
      </c>
      <c r="BQ6" s="8" t="s">
        <v>83</v>
      </c>
      <c r="BR6" s="8" t="s">
        <v>83</v>
      </c>
      <c r="BS6" s="8" t="s">
        <v>83</v>
      </c>
      <c r="BT6" s="8" t="s">
        <v>83</v>
      </c>
      <c r="BU6" s="8">
        <v>2.7810000000000001</v>
      </c>
      <c r="BV6" s="8" t="s">
        <v>83</v>
      </c>
      <c r="BW6" s="8">
        <v>2.9363333333333337</v>
      </c>
      <c r="BX6" s="8" t="s">
        <v>83</v>
      </c>
      <c r="BY6" s="8" t="s">
        <v>83</v>
      </c>
      <c r="BZ6" s="8" t="s">
        <v>83</v>
      </c>
      <c r="CA6" s="8">
        <v>2.1389999999999998</v>
      </c>
      <c r="CB6" s="8" t="s">
        <v>83</v>
      </c>
      <c r="CC6" s="8" t="s">
        <v>83</v>
      </c>
    </row>
    <row r="7" spans="1:81" ht="15.75" x14ac:dyDescent="0.25">
      <c r="A7" s="7" t="s">
        <v>88</v>
      </c>
      <c r="B7" s="8" t="s">
        <v>83</v>
      </c>
      <c r="C7" s="8">
        <v>0.155</v>
      </c>
      <c r="D7" s="8">
        <v>0.24633333333333332</v>
      </c>
      <c r="E7" s="8">
        <v>0.26600000000000001</v>
      </c>
      <c r="F7" s="8">
        <v>5.4000000000000006E-2</v>
      </c>
      <c r="G7" s="8">
        <v>8.8333333333333333E-2</v>
      </c>
      <c r="H7" s="8">
        <v>0.16233333333333333</v>
      </c>
      <c r="I7" s="8" t="s">
        <v>83</v>
      </c>
      <c r="J7" s="8">
        <v>0.46566666666666667</v>
      </c>
      <c r="K7" s="8">
        <v>0.24966666666666665</v>
      </c>
      <c r="L7" s="8">
        <v>0.25333333333333335</v>
      </c>
      <c r="M7" s="8" t="s">
        <v>83</v>
      </c>
      <c r="N7" s="8" t="s">
        <v>83</v>
      </c>
      <c r="O7" s="8" t="s">
        <v>83</v>
      </c>
      <c r="P7" s="8" t="s">
        <v>83</v>
      </c>
      <c r="Q7" s="8" t="s">
        <v>83</v>
      </c>
      <c r="R7" s="8" t="s">
        <v>83</v>
      </c>
      <c r="S7" s="8" t="s">
        <v>83</v>
      </c>
      <c r="T7" s="8" t="s">
        <v>83</v>
      </c>
      <c r="U7" s="8" t="s">
        <v>83</v>
      </c>
      <c r="V7" s="8">
        <v>0.72933333333333328</v>
      </c>
      <c r="W7" s="8">
        <v>0.50366666666666671</v>
      </c>
      <c r="X7" s="8">
        <v>0.52833333333333332</v>
      </c>
      <c r="Y7" s="8">
        <v>0.65400000000000003</v>
      </c>
      <c r="Z7" s="8">
        <v>0.25433333333333336</v>
      </c>
      <c r="AA7" s="8" t="s">
        <v>83</v>
      </c>
      <c r="AB7" s="8">
        <v>0.308</v>
      </c>
      <c r="AC7" s="8">
        <v>0.28166666666666668</v>
      </c>
      <c r="AD7" s="8" t="s">
        <v>83</v>
      </c>
      <c r="AE7" s="8" t="s">
        <v>83</v>
      </c>
      <c r="AF7" s="8" t="s">
        <v>83</v>
      </c>
      <c r="AG7" s="8" t="s">
        <v>83</v>
      </c>
      <c r="AH7" s="8" t="s">
        <v>83</v>
      </c>
      <c r="AI7" s="8" t="s">
        <v>83</v>
      </c>
      <c r="AJ7" s="8" t="s">
        <v>83</v>
      </c>
      <c r="AK7" s="8">
        <v>16.019333333333332</v>
      </c>
      <c r="AL7" s="8" t="s">
        <v>83</v>
      </c>
      <c r="AM7" s="8" t="s">
        <v>83</v>
      </c>
      <c r="AN7" s="8" t="s">
        <v>83</v>
      </c>
      <c r="AO7" s="8" t="s">
        <v>83</v>
      </c>
      <c r="AP7" s="8" t="s">
        <v>83</v>
      </c>
      <c r="AQ7" s="8" t="s">
        <v>83</v>
      </c>
      <c r="AR7" s="8" t="s">
        <v>83</v>
      </c>
      <c r="AS7" s="8" t="s">
        <v>83</v>
      </c>
      <c r="AT7" s="8" t="s">
        <v>83</v>
      </c>
      <c r="AU7" s="8" t="s">
        <v>83</v>
      </c>
      <c r="AV7" s="8" t="s">
        <v>83</v>
      </c>
      <c r="AW7" s="8" t="s">
        <v>83</v>
      </c>
      <c r="AX7" s="8" t="s">
        <v>83</v>
      </c>
      <c r="AY7" s="8" t="s">
        <v>83</v>
      </c>
      <c r="AZ7" s="8" t="s">
        <v>83</v>
      </c>
      <c r="BA7" s="8" t="s">
        <v>83</v>
      </c>
      <c r="BB7" s="8" t="s">
        <v>83</v>
      </c>
      <c r="BC7" s="8" t="s">
        <v>83</v>
      </c>
      <c r="BD7" s="8" t="s">
        <v>83</v>
      </c>
      <c r="BE7" s="8" t="s">
        <v>83</v>
      </c>
      <c r="BF7" s="8" t="s">
        <v>83</v>
      </c>
      <c r="BG7" s="8" t="s">
        <v>83</v>
      </c>
      <c r="BH7" s="8" t="s">
        <v>83</v>
      </c>
      <c r="BI7" s="8" t="s">
        <v>83</v>
      </c>
      <c r="BJ7" s="8" t="s">
        <v>83</v>
      </c>
      <c r="BK7" s="8">
        <v>0</v>
      </c>
      <c r="BL7" s="8" t="s">
        <v>83</v>
      </c>
      <c r="BM7" s="8" t="s">
        <v>83</v>
      </c>
      <c r="BN7" s="8" t="s">
        <v>83</v>
      </c>
      <c r="BO7" s="8">
        <v>0</v>
      </c>
      <c r="BP7" s="8" t="s">
        <v>83</v>
      </c>
      <c r="BQ7" s="8" t="s">
        <v>83</v>
      </c>
      <c r="BR7" s="8" t="s">
        <v>83</v>
      </c>
      <c r="BS7" s="8" t="s">
        <v>83</v>
      </c>
      <c r="BT7" s="8" t="s">
        <v>83</v>
      </c>
      <c r="BU7" s="8">
        <v>0</v>
      </c>
      <c r="BV7" s="8" t="s">
        <v>83</v>
      </c>
      <c r="BW7" s="8">
        <v>0</v>
      </c>
      <c r="BX7" s="8" t="s">
        <v>83</v>
      </c>
      <c r="BY7" s="8" t="s">
        <v>83</v>
      </c>
      <c r="BZ7" s="8">
        <v>0.26133333333333331</v>
      </c>
      <c r="CA7" s="8">
        <v>0.379</v>
      </c>
      <c r="CB7" s="8" t="s">
        <v>83</v>
      </c>
      <c r="CC7" s="8">
        <v>0.11333333333333334</v>
      </c>
    </row>
    <row r="8" spans="1:81" ht="15.75" x14ac:dyDescent="0.25">
      <c r="A8" s="7" t="s">
        <v>89</v>
      </c>
      <c r="B8" s="8" t="s">
        <v>83</v>
      </c>
      <c r="C8" s="8">
        <v>2.7663333333333338</v>
      </c>
      <c r="D8" s="8" t="s">
        <v>83</v>
      </c>
      <c r="E8" s="8" t="s">
        <v>83</v>
      </c>
      <c r="F8" s="8" t="s">
        <v>83</v>
      </c>
      <c r="G8" s="8" t="s">
        <v>83</v>
      </c>
      <c r="H8" s="8" t="s">
        <v>83</v>
      </c>
      <c r="I8" s="8">
        <v>49.802000000000007</v>
      </c>
      <c r="J8" s="8" t="s">
        <v>83</v>
      </c>
      <c r="K8" s="8" t="s">
        <v>83</v>
      </c>
      <c r="L8" s="8" t="s">
        <v>83</v>
      </c>
      <c r="M8" s="8">
        <v>27.648000000000003</v>
      </c>
      <c r="N8" s="8" t="s">
        <v>83</v>
      </c>
      <c r="O8" s="8" t="s">
        <v>83</v>
      </c>
      <c r="P8" s="8" t="s">
        <v>83</v>
      </c>
      <c r="Q8" s="8">
        <v>14.793333333333333</v>
      </c>
      <c r="R8" s="8" t="s">
        <v>83</v>
      </c>
      <c r="S8" s="8">
        <v>47.035000000000004</v>
      </c>
      <c r="T8" s="8" t="s">
        <v>83</v>
      </c>
      <c r="U8" s="8" t="s">
        <v>83</v>
      </c>
      <c r="V8" s="8" t="s">
        <v>83</v>
      </c>
      <c r="W8" s="8">
        <v>9.2293333333333347</v>
      </c>
      <c r="X8" s="8" t="s">
        <v>83</v>
      </c>
      <c r="Y8" s="8" t="s">
        <v>83</v>
      </c>
      <c r="Z8" s="8" t="s">
        <v>83</v>
      </c>
      <c r="AA8" s="8">
        <v>9.1013333333333328</v>
      </c>
      <c r="AB8" s="8" t="s">
        <v>83</v>
      </c>
      <c r="AC8" s="8" t="s">
        <v>83</v>
      </c>
      <c r="AD8" s="8">
        <v>0</v>
      </c>
      <c r="AE8" s="8">
        <v>26.470333333333333</v>
      </c>
      <c r="AF8" s="8">
        <v>0</v>
      </c>
      <c r="AG8" s="8">
        <v>0</v>
      </c>
      <c r="AH8" s="8">
        <v>0.80766666666666664</v>
      </c>
      <c r="AI8" s="8">
        <v>1.2766666666666666</v>
      </c>
      <c r="AJ8" s="8">
        <v>0.70766666666666667</v>
      </c>
      <c r="AK8" s="8" t="s">
        <v>83</v>
      </c>
      <c r="AL8" s="8" t="s">
        <v>83</v>
      </c>
      <c r="AM8" s="8" t="s">
        <v>83</v>
      </c>
      <c r="AN8" s="8" t="s">
        <v>83</v>
      </c>
      <c r="AO8" s="8">
        <v>0.44566666666666671</v>
      </c>
      <c r="AP8" s="8" t="s">
        <v>83</v>
      </c>
      <c r="AQ8" s="8">
        <v>33.489333333333335</v>
      </c>
      <c r="AR8" s="8" t="s">
        <v>83</v>
      </c>
      <c r="AS8" s="8" t="s">
        <v>83</v>
      </c>
      <c r="AT8" s="8" t="s">
        <v>83</v>
      </c>
      <c r="AU8" s="8" t="s">
        <v>83</v>
      </c>
      <c r="AV8" s="8" t="s">
        <v>83</v>
      </c>
      <c r="AW8" s="8">
        <v>26.870333333333331</v>
      </c>
      <c r="AX8" s="8" t="s">
        <v>83</v>
      </c>
      <c r="AY8" s="8">
        <v>49.836666666666666</v>
      </c>
      <c r="AZ8" s="8" t="s">
        <v>83</v>
      </c>
      <c r="BA8" s="8" t="s">
        <v>83</v>
      </c>
      <c r="BB8" s="8" t="s">
        <v>83</v>
      </c>
      <c r="BC8" s="8" t="s">
        <v>83</v>
      </c>
      <c r="BD8" s="8" t="s">
        <v>83</v>
      </c>
      <c r="BE8" s="8">
        <v>4.9883333333333333</v>
      </c>
      <c r="BF8" s="8" t="s">
        <v>83</v>
      </c>
      <c r="BG8" s="8">
        <v>17.379333333333335</v>
      </c>
      <c r="BH8" s="8" t="s">
        <v>83</v>
      </c>
      <c r="BI8" s="8" t="s">
        <v>83</v>
      </c>
      <c r="BJ8" s="8" t="s">
        <v>83</v>
      </c>
      <c r="BK8" s="8">
        <v>31.940000000000005</v>
      </c>
      <c r="BL8" s="8" t="s">
        <v>83</v>
      </c>
      <c r="BM8" s="8" t="s">
        <v>83</v>
      </c>
      <c r="BN8" s="8" t="s">
        <v>83</v>
      </c>
      <c r="BO8" s="8">
        <v>9.1283333333333339</v>
      </c>
      <c r="BP8" s="8" t="s">
        <v>83</v>
      </c>
      <c r="BQ8" s="8" t="s">
        <v>83</v>
      </c>
      <c r="BR8" s="8" t="s">
        <v>83</v>
      </c>
      <c r="BS8" s="8" t="s">
        <v>83</v>
      </c>
      <c r="BT8" s="8" t="s">
        <v>83</v>
      </c>
      <c r="BU8" s="8">
        <v>13.907666666666668</v>
      </c>
      <c r="BV8" s="8" t="s">
        <v>83</v>
      </c>
      <c r="BW8" s="8">
        <v>21.838000000000001</v>
      </c>
      <c r="BX8" s="8" t="s">
        <v>83</v>
      </c>
      <c r="BY8" s="8" t="s">
        <v>83</v>
      </c>
      <c r="BZ8" s="8" t="s">
        <v>83</v>
      </c>
      <c r="CA8" s="8">
        <v>13.081666666666667</v>
      </c>
      <c r="CB8" s="8" t="s">
        <v>83</v>
      </c>
      <c r="CC8" s="8" t="s">
        <v>83</v>
      </c>
    </row>
    <row r="9" spans="1:81" ht="15.75" x14ac:dyDescent="0.25">
      <c r="A9" s="7" t="s">
        <v>90</v>
      </c>
      <c r="B9" s="8">
        <v>0.57533333333333336</v>
      </c>
      <c r="C9" s="8">
        <v>0.66766666666666663</v>
      </c>
      <c r="D9" s="8">
        <v>1.0679999999999998</v>
      </c>
      <c r="E9" s="8">
        <v>0.78933333333333333</v>
      </c>
      <c r="F9" s="8">
        <v>2.492666666666667</v>
      </c>
      <c r="G9" s="8">
        <v>2.543333333333333</v>
      </c>
      <c r="H9" s="8">
        <v>1.8280000000000001</v>
      </c>
      <c r="I9" s="8">
        <v>1.9743333333333335</v>
      </c>
      <c r="J9" s="8">
        <v>0.92800000000000005</v>
      </c>
      <c r="K9" s="8">
        <v>2.8</v>
      </c>
      <c r="L9" s="8">
        <v>2.8276666666666661</v>
      </c>
      <c r="M9" s="8">
        <v>1.4326666666666665</v>
      </c>
      <c r="N9" s="8">
        <v>1.3386666666666667</v>
      </c>
      <c r="O9" s="8">
        <v>1.3646666666666669</v>
      </c>
      <c r="P9" s="8">
        <v>2.6310000000000002</v>
      </c>
      <c r="Q9" s="8">
        <v>3.8536666666666668</v>
      </c>
      <c r="R9" s="8">
        <v>0.77100000000000002</v>
      </c>
      <c r="S9" s="8">
        <v>2.831666666666667</v>
      </c>
      <c r="T9" s="8">
        <v>0.40933333333333333</v>
      </c>
      <c r="U9" s="8">
        <v>0.5013333333333333</v>
      </c>
      <c r="V9" s="8">
        <v>0.28066666666666662</v>
      </c>
      <c r="W9" s="8">
        <v>0.52400000000000002</v>
      </c>
      <c r="X9" s="8">
        <v>0.56633333333333324</v>
      </c>
      <c r="Y9" s="8">
        <v>0.27333333333333332</v>
      </c>
      <c r="Z9" s="8">
        <v>0.43866666666666665</v>
      </c>
      <c r="AA9" s="8">
        <v>0.18500000000000003</v>
      </c>
      <c r="AB9" s="8">
        <v>0.73933333333333329</v>
      </c>
      <c r="AC9" s="8">
        <v>1.7926666666666666</v>
      </c>
      <c r="AD9" s="8">
        <v>2.2346666666666666</v>
      </c>
      <c r="AE9" s="8">
        <v>3.556</v>
      </c>
      <c r="AF9" s="8">
        <v>1.7656666666666665</v>
      </c>
      <c r="AG9" s="8">
        <v>1.907</v>
      </c>
      <c r="AH9" s="8">
        <v>2.8593333333333337</v>
      </c>
      <c r="AI9" s="8">
        <v>1.4600000000000002</v>
      </c>
      <c r="AJ9" s="8">
        <v>2.5039999999999996</v>
      </c>
      <c r="AK9" s="8">
        <v>0.69166666666666676</v>
      </c>
      <c r="AL9" s="8">
        <v>2.0599999999999996</v>
      </c>
      <c r="AM9" s="8">
        <v>1.1686666666666665</v>
      </c>
      <c r="AN9" s="8">
        <v>3.3759999999999999</v>
      </c>
      <c r="AO9" s="8">
        <v>0.8683333333333334</v>
      </c>
      <c r="AP9" s="8">
        <v>1.4390000000000001</v>
      </c>
      <c r="AQ9" s="8">
        <v>4.2353333333333332</v>
      </c>
      <c r="AR9" s="8">
        <v>3.0173333333333332</v>
      </c>
      <c r="AS9" s="8">
        <v>1.5946666666666667</v>
      </c>
      <c r="AT9" s="8">
        <v>2.5473333333333334</v>
      </c>
      <c r="AU9" s="8">
        <v>0.81366666666666665</v>
      </c>
      <c r="AV9" s="8">
        <v>0.77266666666666672</v>
      </c>
      <c r="AW9" s="8">
        <v>0.5053333333333333</v>
      </c>
      <c r="AX9" s="8">
        <v>2.1773333333333333</v>
      </c>
      <c r="AY9" s="8">
        <v>0.43433333333333329</v>
      </c>
      <c r="AZ9" s="8">
        <v>2.4086666666666665</v>
      </c>
      <c r="BA9" s="8">
        <v>2.9966666666666666</v>
      </c>
      <c r="BB9" s="8">
        <v>3.8703333333333334</v>
      </c>
      <c r="BC9" s="8">
        <v>1.3763333333333334</v>
      </c>
      <c r="BD9" s="8">
        <v>3.0866666666666664</v>
      </c>
      <c r="BE9" s="8">
        <v>2.5363333333333338</v>
      </c>
      <c r="BF9" s="8">
        <v>1.8816666666666666</v>
      </c>
      <c r="BG9" s="8">
        <v>2.57</v>
      </c>
      <c r="BH9" s="8">
        <v>2.1193333333333335</v>
      </c>
      <c r="BI9" s="8">
        <v>2.2633333333333332</v>
      </c>
      <c r="BJ9" s="8">
        <v>3.1276666666666673</v>
      </c>
      <c r="BK9" s="8">
        <v>2.1819999999999999</v>
      </c>
      <c r="BL9" s="8">
        <v>2.6036666666666668</v>
      </c>
      <c r="BM9" s="8">
        <v>1.587</v>
      </c>
      <c r="BN9" s="8">
        <v>1.2229999999999999</v>
      </c>
      <c r="BO9" s="8">
        <v>0.69433333333333336</v>
      </c>
      <c r="BP9" s="8">
        <v>1.5876666666666668</v>
      </c>
      <c r="BQ9" s="8">
        <v>1.2066666666666666</v>
      </c>
      <c r="BR9" s="8" t="s">
        <v>83</v>
      </c>
      <c r="BS9" s="8" t="s">
        <v>83</v>
      </c>
      <c r="BT9" s="8" t="s">
        <v>83</v>
      </c>
      <c r="BU9" s="8" t="s">
        <v>83</v>
      </c>
      <c r="BV9" s="8">
        <v>1.2650000000000001</v>
      </c>
      <c r="BW9" s="8">
        <v>1.1766666666666667</v>
      </c>
      <c r="BX9" s="8">
        <v>1.3979999999999999</v>
      </c>
      <c r="BY9" s="8">
        <v>1.4673333333333334</v>
      </c>
      <c r="BZ9" s="8">
        <v>1.9943333333333333</v>
      </c>
      <c r="CA9" s="8">
        <v>1.135</v>
      </c>
      <c r="CB9" s="8">
        <v>3.6729999999999996</v>
      </c>
      <c r="CC9" s="8">
        <v>3.0696666666666665</v>
      </c>
    </row>
    <row r="10" spans="1:81" ht="15.75" x14ac:dyDescent="0.25">
      <c r="A10" s="7" t="s">
        <v>91</v>
      </c>
      <c r="B10" s="8">
        <v>1.7796666666666665</v>
      </c>
      <c r="C10" s="8">
        <v>1.7756666666666667</v>
      </c>
      <c r="D10" s="8">
        <v>1.3120000000000001</v>
      </c>
      <c r="E10" s="8">
        <v>1.2450000000000001</v>
      </c>
      <c r="F10" s="8">
        <v>16.531333333333333</v>
      </c>
      <c r="G10" s="8">
        <v>4.3356666666666666</v>
      </c>
      <c r="H10" s="8">
        <v>8.5343333333333327</v>
      </c>
      <c r="I10" s="8">
        <v>28.289666666666669</v>
      </c>
      <c r="J10" s="8">
        <v>1.8000000000000003</v>
      </c>
      <c r="K10" s="8">
        <v>3.2723333333333331</v>
      </c>
      <c r="L10" s="8">
        <v>2.8716666666666666</v>
      </c>
      <c r="M10" s="8">
        <v>1.9500000000000002</v>
      </c>
      <c r="N10" s="8">
        <v>0.81466666666666665</v>
      </c>
      <c r="O10" s="8">
        <v>0.96133333333333326</v>
      </c>
      <c r="P10" s="8">
        <v>0.97699999999999998</v>
      </c>
      <c r="Q10" s="8">
        <v>6.1613333333333333</v>
      </c>
      <c r="R10" s="8">
        <v>0.25366666666666665</v>
      </c>
      <c r="S10" s="8">
        <v>1.4140000000000001</v>
      </c>
      <c r="T10" s="8">
        <v>0.32633333333333336</v>
      </c>
      <c r="U10" s="8">
        <v>0.43233333333333335</v>
      </c>
      <c r="V10" s="8">
        <v>0.74466666666666659</v>
      </c>
      <c r="W10" s="8">
        <v>0.89699999999999991</v>
      </c>
      <c r="X10" s="8">
        <v>0.48633333333333334</v>
      </c>
      <c r="Y10" s="8">
        <v>0.59633333333333338</v>
      </c>
      <c r="Z10" s="8" t="s">
        <v>83</v>
      </c>
      <c r="AA10" s="8">
        <v>5.6666666666666671E-2</v>
      </c>
      <c r="AB10" s="8">
        <v>0.26366666666666666</v>
      </c>
      <c r="AC10" s="8">
        <v>0.31766666666666665</v>
      </c>
      <c r="AD10" s="8">
        <v>7.7343333333333337</v>
      </c>
      <c r="AE10" s="8">
        <v>2.5026666666666664</v>
      </c>
      <c r="AF10" s="8">
        <v>2.8806666666666669</v>
      </c>
      <c r="AG10" s="8">
        <v>8.6576666666666657</v>
      </c>
      <c r="AH10" s="8" t="s">
        <v>83</v>
      </c>
      <c r="AI10" s="8" t="s">
        <v>83</v>
      </c>
      <c r="AJ10" s="8" t="s">
        <v>83</v>
      </c>
      <c r="AK10" s="8">
        <v>1.0840000000000001</v>
      </c>
      <c r="AL10" s="8">
        <v>0.73399999999999999</v>
      </c>
      <c r="AM10" s="8">
        <v>1.3626666666666665</v>
      </c>
      <c r="AN10" s="8">
        <v>3.6936666666666667</v>
      </c>
      <c r="AO10" s="8">
        <v>1.2023333333333333</v>
      </c>
      <c r="AP10" s="8">
        <v>0.85899999999999999</v>
      </c>
      <c r="AQ10" s="8">
        <v>0.88833333333333331</v>
      </c>
      <c r="AR10" s="8">
        <v>0.76033333333333331</v>
      </c>
      <c r="AS10" s="8">
        <v>0.85033333333333327</v>
      </c>
      <c r="AT10" s="8">
        <v>0.7586666666666666</v>
      </c>
      <c r="AU10" s="8">
        <v>1.5146666666666668</v>
      </c>
      <c r="AV10" s="8">
        <v>1.466</v>
      </c>
      <c r="AW10" s="8">
        <v>1.7113333333333332</v>
      </c>
      <c r="AX10" s="8">
        <v>0.98866666666666658</v>
      </c>
      <c r="AY10" s="8">
        <v>1.8320000000000001</v>
      </c>
      <c r="AZ10" s="8">
        <v>1.8086666666666669</v>
      </c>
      <c r="BA10" s="8" t="s">
        <v>83</v>
      </c>
      <c r="BB10" s="8">
        <v>0.66966666666666663</v>
      </c>
      <c r="BC10" s="8">
        <v>0.68700000000000006</v>
      </c>
      <c r="BD10" s="8">
        <v>1.0246666666666666</v>
      </c>
      <c r="BE10" s="8">
        <v>2.4066666666666667</v>
      </c>
      <c r="BF10" s="8" t="s">
        <v>83</v>
      </c>
      <c r="BG10" s="8">
        <v>0.91433333333333344</v>
      </c>
      <c r="BH10" s="8">
        <v>0.42266666666666669</v>
      </c>
      <c r="BI10" s="8">
        <v>0.73533333333333339</v>
      </c>
      <c r="BJ10" s="8">
        <v>1.1479999999999999</v>
      </c>
      <c r="BK10" s="8">
        <v>1.1460000000000001</v>
      </c>
      <c r="BL10" s="8" t="s">
        <v>83</v>
      </c>
      <c r="BM10" s="8">
        <v>1.2529999999999999</v>
      </c>
      <c r="BN10" s="8">
        <v>1.5953333333333333</v>
      </c>
      <c r="BO10" s="8">
        <v>1.7280000000000002</v>
      </c>
      <c r="BP10" s="8">
        <v>0.84733333333333327</v>
      </c>
      <c r="BQ10" s="8">
        <v>0.81133333333333324</v>
      </c>
      <c r="BR10" s="8">
        <v>4.5666666666666668E-2</v>
      </c>
      <c r="BS10" s="8">
        <v>0.93399999999999994</v>
      </c>
      <c r="BT10" s="8">
        <v>0.25333333333333335</v>
      </c>
      <c r="BU10" s="8">
        <v>0.93766666666666665</v>
      </c>
      <c r="BV10" s="8">
        <v>1.6309999999999998</v>
      </c>
      <c r="BW10" s="8">
        <v>2.4436666666666667</v>
      </c>
      <c r="BX10" s="8">
        <v>2.1536666666666666</v>
      </c>
      <c r="BY10" s="8">
        <v>1.2833333333333334</v>
      </c>
      <c r="BZ10" s="8">
        <v>4.8329999999999993</v>
      </c>
      <c r="CA10" s="8">
        <v>4.0340000000000007</v>
      </c>
      <c r="CB10" s="8">
        <v>2.6983333333333333</v>
      </c>
      <c r="CC10" s="8">
        <v>2.2196666666666665</v>
      </c>
    </row>
    <row r="11" spans="1:81" ht="15.75" x14ac:dyDescent="0.25">
      <c r="A11" s="7" t="s">
        <v>92</v>
      </c>
      <c r="B11" s="8" t="s">
        <v>83</v>
      </c>
      <c r="C11" s="8">
        <v>4.8746666666666671</v>
      </c>
      <c r="D11" s="8" t="s">
        <v>83</v>
      </c>
      <c r="E11" s="8" t="s">
        <v>83</v>
      </c>
      <c r="F11" s="8" t="s">
        <v>83</v>
      </c>
      <c r="G11" s="8" t="s">
        <v>83</v>
      </c>
      <c r="H11" s="8" t="s">
        <v>83</v>
      </c>
      <c r="I11" s="8">
        <v>12.888666666666666</v>
      </c>
      <c r="J11" s="8" t="s">
        <v>83</v>
      </c>
      <c r="K11" s="8" t="s">
        <v>83</v>
      </c>
      <c r="L11" s="8" t="s">
        <v>83</v>
      </c>
      <c r="M11" s="8">
        <v>4.0693333333333337</v>
      </c>
      <c r="N11" s="8" t="s">
        <v>83</v>
      </c>
      <c r="O11" s="8" t="s">
        <v>83</v>
      </c>
      <c r="P11" s="8" t="s">
        <v>83</v>
      </c>
      <c r="Q11" s="8">
        <v>7.3726666666666665</v>
      </c>
      <c r="R11" s="8" t="s">
        <v>83</v>
      </c>
      <c r="S11" s="8">
        <v>5.0529999999999999</v>
      </c>
      <c r="T11" s="8" t="s">
        <v>83</v>
      </c>
      <c r="U11" s="8" t="s">
        <v>83</v>
      </c>
      <c r="V11" s="8" t="s">
        <v>83</v>
      </c>
      <c r="W11" s="8">
        <v>7.3356666666666666</v>
      </c>
      <c r="X11" s="8" t="s">
        <v>83</v>
      </c>
      <c r="Y11" s="8" t="s">
        <v>83</v>
      </c>
      <c r="Z11" s="8" t="s">
        <v>83</v>
      </c>
      <c r="AA11" s="8">
        <v>4.9939999999999998</v>
      </c>
      <c r="AB11" s="8" t="s">
        <v>83</v>
      </c>
      <c r="AC11" s="8" t="s">
        <v>83</v>
      </c>
      <c r="AD11" s="8" t="s">
        <v>83</v>
      </c>
      <c r="AE11" s="8">
        <v>16.541</v>
      </c>
      <c r="AF11" s="8" t="s">
        <v>83</v>
      </c>
      <c r="AG11" s="8" t="s">
        <v>83</v>
      </c>
      <c r="AH11" s="8" t="s">
        <v>83</v>
      </c>
      <c r="AI11" s="8" t="s">
        <v>83</v>
      </c>
      <c r="AJ11" s="8" t="s">
        <v>83</v>
      </c>
      <c r="AK11" s="8">
        <v>8.5103333333333335</v>
      </c>
      <c r="AL11" s="8" t="s">
        <v>83</v>
      </c>
      <c r="AM11" s="8" t="s">
        <v>83</v>
      </c>
      <c r="AN11" s="8" t="s">
        <v>83</v>
      </c>
      <c r="AO11" s="8">
        <v>10.568666666666665</v>
      </c>
      <c r="AP11" s="8" t="s">
        <v>83</v>
      </c>
      <c r="AQ11" s="8">
        <v>3.3713333333333333</v>
      </c>
      <c r="AR11" s="8" t="s">
        <v>83</v>
      </c>
      <c r="AS11" s="8" t="s">
        <v>83</v>
      </c>
      <c r="AT11" s="8">
        <v>0</v>
      </c>
      <c r="AU11" s="8">
        <v>4.2229999999999999</v>
      </c>
      <c r="AV11" s="8">
        <v>0</v>
      </c>
      <c r="AW11" s="8">
        <v>19.985333333333333</v>
      </c>
      <c r="AX11" s="8" t="s">
        <v>83</v>
      </c>
      <c r="AY11" s="8">
        <v>8.9550000000000001</v>
      </c>
      <c r="AZ11" s="8" t="s">
        <v>83</v>
      </c>
      <c r="BA11" s="8" t="s">
        <v>83</v>
      </c>
      <c r="BB11" s="8" t="s">
        <v>83</v>
      </c>
      <c r="BC11" s="8" t="s">
        <v>83</v>
      </c>
      <c r="BD11" s="8" t="s">
        <v>83</v>
      </c>
      <c r="BE11" s="8">
        <v>2.9523333333333333</v>
      </c>
      <c r="BF11" s="8" t="s">
        <v>83</v>
      </c>
      <c r="BG11" s="8">
        <v>2.079333333333333</v>
      </c>
      <c r="BH11" s="8" t="s">
        <v>83</v>
      </c>
      <c r="BI11" s="8" t="s">
        <v>83</v>
      </c>
      <c r="BJ11" s="8" t="s">
        <v>83</v>
      </c>
      <c r="BK11" s="8">
        <v>2.9576666666666669</v>
      </c>
      <c r="BL11" s="8" t="s">
        <v>83</v>
      </c>
      <c r="BM11" s="8" t="s">
        <v>83</v>
      </c>
      <c r="BN11" s="8" t="s">
        <v>83</v>
      </c>
      <c r="BO11" s="8">
        <v>10.309333333333333</v>
      </c>
      <c r="BP11" s="8" t="s">
        <v>83</v>
      </c>
      <c r="BQ11" s="8" t="s">
        <v>83</v>
      </c>
      <c r="BR11" s="8" t="s">
        <v>83</v>
      </c>
      <c r="BS11" s="8" t="s">
        <v>83</v>
      </c>
      <c r="BT11" s="8" t="s">
        <v>83</v>
      </c>
      <c r="BU11" s="8">
        <v>1.1243333333333334</v>
      </c>
      <c r="BV11" s="8">
        <v>0</v>
      </c>
      <c r="BW11" s="8">
        <v>4.7266666666666666</v>
      </c>
      <c r="BX11" s="8" t="s">
        <v>83</v>
      </c>
      <c r="BY11" s="8" t="s">
        <v>83</v>
      </c>
      <c r="BZ11" s="8" t="s">
        <v>83</v>
      </c>
      <c r="CA11" s="8">
        <v>8.3176666666666659</v>
      </c>
      <c r="CB11" s="8" t="s">
        <v>83</v>
      </c>
      <c r="CC11" s="8" t="s">
        <v>83</v>
      </c>
    </row>
    <row r="12" spans="1:81" ht="15.75" x14ac:dyDescent="0.25">
      <c r="A12" s="7" t="s">
        <v>93</v>
      </c>
      <c r="B12" s="8" t="s">
        <v>83</v>
      </c>
      <c r="C12" s="8">
        <v>7.5720000000000001</v>
      </c>
      <c r="D12" s="8" t="s">
        <v>83</v>
      </c>
      <c r="E12" s="8" t="s">
        <v>83</v>
      </c>
      <c r="F12" s="8" t="s">
        <v>83</v>
      </c>
      <c r="G12" s="8" t="s">
        <v>83</v>
      </c>
      <c r="H12" s="8" t="s">
        <v>83</v>
      </c>
      <c r="I12" s="8">
        <v>2.0973333333333333</v>
      </c>
      <c r="J12" s="8" t="s">
        <v>83</v>
      </c>
      <c r="K12" s="8" t="s">
        <v>83</v>
      </c>
      <c r="L12" s="8" t="s">
        <v>83</v>
      </c>
      <c r="M12" s="8">
        <v>2.4143333333333334</v>
      </c>
      <c r="N12" s="8" t="s">
        <v>83</v>
      </c>
      <c r="O12" s="8" t="s">
        <v>83</v>
      </c>
      <c r="P12" s="8" t="s">
        <v>83</v>
      </c>
      <c r="Q12" s="8">
        <v>0.85533333333333339</v>
      </c>
      <c r="R12" s="8" t="s">
        <v>83</v>
      </c>
      <c r="S12" s="8">
        <v>3.0573333333333332</v>
      </c>
      <c r="T12" s="8" t="s">
        <v>83</v>
      </c>
      <c r="U12" s="8" t="s">
        <v>83</v>
      </c>
      <c r="V12" s="8" t="s">
        <v>83</v>
      </c>
      <c r="W12" s="8">
        <v>0.438</v>
      </c>
      <c r="X12" s="8" t="s">
        <v>83</v>
      </c>
      <c r="Y12" s="8" t="s">
        <v>83</v>
      </c>
      <c r="Z12" s="8" t="s">
        <v>83</v>
      </c>
      <c r="AA12" s="8">
        <v>0.36833333333333335</v>
      </c>
      <c r="AB12" s="8" t="s">
        <v>83</v>
      </c>
      <c r="AC12" s="8" t="s">
        <v>83</v>
      </c>
      <c r="AD12" s="8" t="s">
        <v>83</v>
      </c>
      <c r="AE12" s="8">
        <v>1.8679999999999999</v>
      </c>
      <c r="AF12" s="8" t="s">
        <v>83</v>
      </c>
      <c r="AG12" s="8" t="s">
        <v>83</v>
      </c>
      <c r="AH12" s="8" t="s">
        <v>83</v>
      </c>
      <c r="AI12" s="8" t="s">
        <v>83</v>
      </c>
      <c r="AJ12" s="8" t="s">
        <v>83</v>
      </c>
      <c r="AK12" s="8">
        <v>0.92300000000000015</v>
      </c>
      <c r="AL12" s="8" t="s">
        <v>83</v>
      </c>
      <c r="AM12" s="8" t="s">
        <v>83</v>
      </c>
      <c r="AN12" s="8" t="s">
        <v>83</v>
      </c>
      <c r="AO12" s="8" t="s">
        <v>83</v>
      </c>
      <c r="AP12" s="8" t="s">
        <v>83</v>
      </c>
      <c r="AQ12" s="8">
        <v>0.73033333333333328</v>
      </c>
      <c r="AR12" s="8" t="s">
        <v>83</v>
      </c>
      <c r="AS12" s="8" t="s">
        <v>83</v>
      </c>
      <c r="AT12" s="8" t="s">
        <v>83</v>
      </c>
      <c r="AU12" s="8" t="s">
        <v>83</v>
      </c>
      <c r="AV12" s="8" t="s">
        <v>83</v>
      </c>
      <c r="AW12" s="8">
        <v>2.4366666666666665</v>
      </c>
      <c r="AX12" s="8" t="s">
        <v>83</v>
      </c>
      <c r="AY12" s="8">
        <v>4.0609999999999999</v>
      </c>
      <c r="AZ12" s="8" t="s">
        <v>83</v>
      </c>
      <c r="BA12" s="8" t="s">
        <v>83</v>
      </c>
      <c r="BB12" s="8" t="s">
        <v>83</v>
      </c>
      <c r="BC12" s="8" t="s">
        <v>83</v>
      </c>
      <c r="BD12" s="8" t="s">
        <v>83</v>
      </c>
      <c r="BE12" s="8">
        <v>0.61266666666666658</v>
      </c>
      <c r="BF12" s="8" t="s">
        <v>83</v>
      </c>
      <c r="BG12" s="8">
        <v>0.97766666666666657</v>
      </c>
      <c r="BH12" s="8" t="s">
        <v>83</v>
      </c>
      <c r="BI12" s="8" t="s">
        <v>83</v>
      </c>
      <c r="BJ12" s="8" t="s">
        <v>83</v>
      </c>
      <c r="BK12" s="8">
        <v>3.2399999999999998</v>
      </c>
      <c r="BL12" s="8" t="s">
        <v>83</v>
      </c>
      <c r="BM12" s="8" t="s">
        <v>83</v>
      </c>
      <c r="BN12" s="8" t="s">
        <v>83</v>
      </c>
      <c r="BO12" s="8">
        <v>0.57066666666666666</v>
      </c>
      <c r="BP12" s="8" t="s">
        <v>83</v>
      </c>
      <c r="BQ12" s="8" t="s">
        <v>83</v>
      </c>
      <c r="BR12" s="8" t="s">
        <v>83</v>
      </c>
      <c r="BS12" s="8" t="s">
        <v>83</v>
      </c>
      <c r="BT12" s="8" t="s">
        <v>83</v>
      </c>
      <c r="BU12" s="8">
        <v>1.3663333333333334</v>
      </c>
      <c r="BV12" s="8">
        <v>0</v>
      </c>
      <c r="BW12" s="8">
        <v>0.82366666666666666</v>
      </c>
      <c r="BX12" s="8" t="s">
        <v>83</v>
      </c>
      <c r="BY12" s="8" t="s">
        <v>83</v>
      </c>
      <c r="BZ12" s="8" t="s">
        <v>83</v>
      </c>
      <c r="CA12" s="8">
        <v>0.40033333333333332</v>
      </c>
      <c r="CB12" s="8" t="s">
        <v>83</v>
      </c>
      <c r="CC12" s="8" t="s">
        <v>83</v>
      </c>
    </row>
    <row r="13" spans="1:81" ht="15.75" x14ac:dyDescent="0.25">
      <c r="A13" s="7" t="s">
        <v>94</v>
      </c>
      <c r="B13" s="8" t="s">
        <v>83</v>
      </c>
      <c r="C13" s="8">
        <v>1.0593333333333335</v>
      </c>
      <c r="D13" s="8" t="s">
        <v>83</v>
      </c>
      <c r="E13" s="8" t="s">
        <v>83</v>
      </c>
      <c r="F13" s="8" t="s">
        <v>83</v>
      </c>
      <c r="G13" s="8" t="s">
        <v>83</v>
      </c>
      <c r="H13" s="8" t="s">
        <v>83</v>
      </c>
      <c r="I13" s="8">
        <v>11.844000000000001</v>
      </c>
      <c r="J13" s="8" t="s">
        <v>83</v>
      </c>
      <c r="K13" s="8" t="s">
        <v>83</v>
      </c>
      <c r="L13" s="8" t="s">
        <v>83</v>
      </c>
      <c r="M13" s="8">
        <v>7.7906666666666675</v>
      </c>
      <c r="N13" s="8" t="s">
        <v>83</v>
      </c>
      <c r="O13" s="8" t="s">
        <v>83</v>
      </c>
      <c r="P13" s="8" t="s">
        <v>83</v>
      </c>
      <c r="Q13" s="8">
        <v>4.4986666666666668</v>
      </c>
      <c r="R13" s="8" t="s">
        <v>83</v>
      </c>
      <c r="S13" s="8">
        <v>17.416</v>
      </c>
      <c r="T13" s="8" t="s">
        <v>83</v>
      </c>
      <c r="U13" s="8" t="s">
        <v>83</v>
      </c>
      <c r="V13" s="8" t="s">
        <v>83</v>
      </c>
      <c r="W13" s="8">
        <v>1.9786666666666668</v>
      </c>
      <c r="X13" s="8" t="s">
        <v>83</v>
      </c>
      <c r="Y13" s="8" t="s">
        <v>83</v>
      </c>
      <c r="Z13" s="8" t="s">
        <v>83</v>
      </c>
      <c r="AA13" s="8">
        <v>2.5373333333333332</v>
      </c>
      <c r="AB13" s="8" t="s">
        <v>83</v>
      </c>
      <c r="AC13" s="8" t="s">
        <v>83</v>
      </c>
      <c r="AD13" s="8" t="s">
        <v>83</v>
      </c>
      <c r="AE13" s="8">
        <v>8.1930000000000014</v>
      </c>
      <c r="AF13" s="8" t="s">
        <v>83</v>
      </c>
      <c r="AG13" s="8" t="s">
        <v>83</v>
      </c>
      <c r="AH13" s="8" t="s">
        <v>83</v>
      </c>
      <c r="AI13" s="8" t="s">
        <v>83</v>
      </c>
      <c r="AJ13" s="8" t="s">
        <v>83</v>
      </c>
      <c r="AK13" s="8">
        <v>3.6846666666666663</v>
      </c>
      <c r="AL13" s="8" t="s">
        <v>83</v>
      </c>
      <c r="AM13" s="8" t="s">
        <v>83</v>
      </c>
      <c r="AN13" s="8" t="s">
        <v>83</v>
      </c>
      <c r="AO13" s="8" t="s">
        <v>83</v>
      </c>
      <c r="AP13" s="8" t="s">
        <v>83</v>
      </c>
      <c r="AQ13" s="8">
        <v>8.6313333333333322</v>
      </c>
      <c r="AR13" s="8" t="s">
        <v>83</v>
      </c>
      <c r="AS13" s="8" t="s">
        <v>83</v>
      </c>
      <c r="AT13" s="8" t="s">
        <v>83</v>
      </c>
      <c r="AU13" s="8" t="s">
        <v>83</v>
      </c>
      <c r="AV13" s="8" t="s">
        <v>83</v>
      </c>
      <c r="AW13" s="8">
        <v>11.423666666666668</v>
      </c>
      <c r="AX13" s="8" t="s">
        <v>83</v>
      </c>
      <c r="AY13" s="8">
        <v>22.69466666666667</v>
      </c>
      <c r="AZ13" s="8" t="s">
        <v>83</v>
      </c>
      <c r="BA13" s="8" t="s">
        <v>83</v>
      </c>
      <c r="BB13" s="8" t="s">
        <v>83</v>
      </c>
      <c r="BC13" s="8" t="s">
        <v>83</v>
      </c>
      <c r="BD13" s="8" t="s">
        <v>83</v>
      </c>
      <c r="BE13" s="8">
        <v>1.2563333333333335</v>
      </c>
      <c r="BF13" s="8" t="s">
        <v>83</v>
      </c>
      <c r="BG13" s="8">
        <v>5.9813333333333345</v>
      </c>
      <c r="BH13" s="8" t="s">
        <v>83</v>
      </c>
      <c r="BI13" s="8" t="s">
        <v>83</v>
      </c>
      <c r="BJ13" s="8" t="s">
        <v>83</v>
      </c>
      <c r="BK13" s="8">
        <v>7.3106666666666671</v>
      </c>
      <c r="BL13" s="8" t="s">
        <v>83</v>
      </c>
      <c r="BM13" s="8" t="s">
        <v>83</v>
      </c>
      <c r="BN13" s="8" t="s">
        <v>83</v>
      </c>
      <c r="BO13" s="8">
        <v>2.5529999999999999</v>
      </c>
      <c r="BP13" s="8" t="s">
        <v>83</v>
      </c>
      <c r="BQ13" s="8" t="s">
        <v>83</v>
      </c>
      <c r="BR13" s="8" t="s">
        <v>83</v>
      </c>
      <c r="BS13" s="8" t="s">
        <v>83</v>
      </c>
      <c r="BT13" s="8" t="s">
        <v>83</v>
      </c>
      <c r="BU13" s="8">
        <v>5.1413333333333338</v>
      </c>
      <c r="BV13" s="8">
        <v>0</v>
      </c>
      <c r="BW13" s="8">
        <v>6.4153333333333329</v>
      </c>
      <c r="BX13" s="8" t="s">
        <v>83</v>
      </c>
      <c r="BY13" s="8" t="s">
        <v>83</v>
      </c>
      <c r="BZ13" s="8" t="s">
        <v>83</v>
      </c>
      <c r="CA13" s="8">
        <v>2.6536666666666666</v>
      </c>
      <c r="CB13" s="8" t="s">
        <v>83</v>
      </c>
      <c r="CC13" s="8" t="s">
        <v>83</v>
      </c>
    </row>
    <row r="14" spans="1:81" ht="15.75" x14ac:dyDescent="0.25">
      <c r="A14" s="7" t="s">
        <v>95</v>
      </c>
      <c r="B14" s="8" t="s">
        <v>83</v>
      </c>
      <c r="C14" s="8">
        <v>0</v>
      </c>
      <c r="D14" s="8" t="s">
        <v>83</v>
      </c>
      <c r="E14" s="8" t="s">
        <v>83</v>
      </c>
      <c r="F14" s="8" t="s">
        <v>83</v>
      </c>
      <c r="G14" s="8" t="s">
        <v>83</v>
      </c>
      <c r="H14" s="8" t="s">
        <v>83</v>
      </c>
      <c r="I14" s="8">
        <v>1.127</v>
      </c>
      <c r="J14" s="8" t="s">
        <v>83</v>
      </c>
      <c r="K14" s="8" t="s">
        <v>83</v>
      </c>
      <c r="L14" s="8" t="s">
        <v>83</v>
      </c>
      <c r="M14" s="8">
        <v>0.8746666666666667</v>
      </c>
      <c r="N14" s="8" t="s">
        <v>83</v>
      </c>
      <c r="O14" s="8" t="s">
        <v>83</v>
      </c>
      <c r="P14" s="8" t="s">
        <v>83</v>
      </c>
      <c r="Q14" s="8">
        <v>0.30533333333333335</v>
      </c>
      <c r="R14" s="8" t="s">
        <v>83</v>
      </c>
      <c r="S14" s="8">
        <v>13.547333333333333</v>
      </c>
      <c r="T14" s="8" t="s">
        <v>83</v>
      </c>
      <c r="U14" s="8" t="s">
        <v>83</v>
      </c>
      <c r="V14" s="8" t="s">
        <v>83</v>
      </c>
      <c r="W14" s="8">
        <v>0.22566666666666665</v>
      </c>
      <c r="X14" s="8" t="s">
        <v>83</v>
      </c>
      <c r="Y14" s="8" t="s">
        <v>83</v>
      </c>
      <c r="Z14" s="8" t="s">
        <v>83</v>
      </c>
      <c r="AA14" s="8">
        <v>0.35833333333333334</v>
      </c>
      <c r="AB14" s="8" t="s">
        <v>83</v>
      </c>
      <c r="AC14" s="8" t="s">
        <v>83</v>
      </c>
      <c r="AD14" s="8">
        <v>0.29599999999999999</v>
      </c>
      <c r="AE14" s="8">
        <v>2.7889999999999997</v>
      </c>
      <c r="AF14" s="8">
        <v>0.32866666666666661</v>
      </c>
      <c r="AG14" s="8">
        <v>0.25333333333333335</v>
      </c>
      <c r="AH14" s="8" t="s">
        <v>83</v>
      </c>
      <c r="AI14" s="8" t="s">
        <v>83</v>
      </c>
      <c r="AJ14" s="8" t="s">
        <v>83</v>
      </c>
      <c r="AK14" s="8">
        <v>0.41166666666666668</v>
      </c>
      <c r="AL14" s="8" t="s">
        <v>83</v>
      </c>
      <c r="AM14" s="8" t="s">
        <v>83</v>
      </c>
      <c r="AN14" s="8" t="s">
        <v>83</v>
      </c>
      <c r="AO14" s="8" t="s">
        <v>83</v>
      </c>
      <c r="AP14" s="8" t="s">
        <v>83</v>
      </c>
      <c r="AQ14" s="8">
        <v>1.2353333333333334</v>
      </c>
      <c r="AR14" s="8" t="s">
        <v>83</v>
      </c>
      <c r="AS14" s="8" t="s">
        <v>83</v>
      </c>
      <c r="AT14" s="8" t="s">
        <v>83</v>
      </c>
      <c r="AU14" s="8" t="s">
        <v>83</v>
      </c>
      <c r="AV14" s="8" t="s">
        <v>83</v>
      </c>
      <c r="AW14" s="8">
        <v>2.1946666666666665</v>
      </c>
      <c r="AX14" s="8" t="s">
        <v>83</v>
      </c>
      <c r="AY14" s="8">
        <v>2.3176666666666668</v>
      </c>
      <c r="AZ14" s="8" t="s">
        <v>83</v>
      </c>
      <c r="BA14" s="8" t="s">
        <v>83</v>
      </c>
      <c r="BB14" s="8" t="s">
        <v>83</v>
      </c>
      <c r="BC14" s="8" t="s">
        <v>83</v>
      </c>
      <c r="BD14" s="8" t="s">
        <v>83</v>
      </c>
      <c r="BE14" s="8">
        <v>0.17466666666666669</v>
      </c>
      <c r="BF14" s="8" t="s">
        <v>83</v>
      </c>
      <c r="BG14" s="8">
        <v>1.0766666666666664</v>
      </c>
      <c r="BH14" s="8" t="s">
        <v>83</v>
      </c>
      <c r="BI14" s="8" t="s">
        <v>83</v>
      </c>
      <c r="BJ14" s="8" t="s">
        <v>83</v>
      </c>
      <c r="BK14" s="8">
        <v>0.96866666666666668</v>
      </c>
      <c r="BL14" s="8" t="s">
        <v>83</v>
      </c>
      <c r="BM14" s="8" t="s">
        <v>83</v>
      </c>
      <c r="BN14" s="8" t="s">
        <v>83</v>
      </c>
      <c r="BO14" s="8">
        <v>0.22800000000000001</v>
      </c>
      <c r="BP14" s="8" t="s">
        <v>83</v>
      </c>
      <c r="BQ14" s="8" t="s">
        <v>83</v>
      </c>
      <c r="BR14" s="8" t="s">
        <v>83</v>
      </c>
      <c r="BS14" s="8" t="s">
        <v>83</v>
      </c>
      <c r="BT14" s="8" t="s">
        <v>83</v>
      </c>
      <c r="BU14" s="8">
        <v>0.58799999999999997</v>
      </c>
      <c r="BV14" s="8">
        <v>0</v>
      </c>
      <c r="BW14" s="8">
        <v>0.69166666666666676</v>
      </c>
      <c r="BX14" s="8" t="s">
        <v>83</v>
      </c>
      <c r="BY14" s="8" t="s">
        <v>83</v>
      </c>
      <c r="BZ14" s="8" t="s">
        <v>83</v>
      </c>
      <c r="CA14" s="8">
        <v>0.40499999999999997</v>
      </c>
      <c r="CB14" s="8" t="s">
        <v>83</v>
      </c>
      <c r="CC14" s="8" t="s">
        <v>83</v>
      </c>
    </row>
    <row r="15" spans="1:81" ht="15.75" x14ac:dyDescent="0.25">
      <c r="A15" s="7" t="s">
        <v>96</v>
      </c>
      <c r="B15" s="8" t="s">
        <v>83</v>
      </c>
      <c r="C15" s="8">
        <v>2.6619999999999999</v>
      </c>
      <c r="D15" s="8" t="s">
        <v>83</v>
      </c>
      <c r="E15" s="8" t="s">
        <v>83</v>
      </c>
      <c r="F15" s="8" t="s">
        <v>83</v>
      </c>
      <c r="G15" s="8" t="s">
        <v>83</v>
      </c>
      <c r="H15" s="8" t="s">
        <v>83</v>
      </c>
      <c r="I15" s="8">
        <v>4.4236666666666666</v>
      </c>
      <c r="J15" s="8" t="s">
        <v>83</v>
      </c>
      <c r="K15" s="8" t="s">
        <v>83</v>
      </c>
      <c r="L15" s="8" t="s">
        <v>83</v>
      </c>
      <c r="M15" s="8">
        <v>2.3879999999999999</v>
      </c>
      <c r="N15" s="8" t="s">
        <v>83</v>
      </c>
      <c r="O15" s="8" t="s">
        <v>83</v>
      </c>
      <c r="P15" s="8" t="s">
        <v>83</v>
      </c>
      <c r="Q15" s="8">
        <v>0.91933333333333334</v>
      </c>
      <c r="R15" s="8" t="s">
        <v>83</v>
      </c>
      <c r="S15" s="8">
        <v>10.786</v>
      </c>
      <c r="T15" s="8" t="s">
        <v>83</v>
      </c>
      <c r="U15" s="8" t="s">
        <v>83</v>
      </c>
      <c r="V15" s="8" t="s">
        <v>83</v>
      </c>
      <c r="W15" s="8">
        <v>0.78800000000000003</v>
      </c>
      <c r="X15" s="8" t="s">
        <v>83</v>
      </c>
      <c r="Y15" s="8" t="s">
        <v>83</v>
      </c>
      <c r="Z15" s="8" t="s">
        <v>83</v>
      </c>
      <c r="AA15" s="8">
        <v>0.77500000000000002</v>
      </c>
      <c r="AB15" s="8" t="s">
        <v>83</v>
      </c>
      <c r="AC15" s="8" t="s">
        <v>83</v>
      </c>
      <c r="AD15" s="8" t="s">
        <v>83</v>
      </c>
      <c r="AE15" s="8">
        <v>5.7116666666666669</v>
      </c>
      <c r="AF15" s="8" t="s">
        <v>83</v>
      </c>
      <c r="AG15" s="8" t="s">
        <v>83</v>
      </c>
      <c r="AH15" s="8" t="s">
        <v>83</v>
      </c>
      <c r="AI15" s="8" t="s">
        <v>83</v>
      </c>
      <c r="AJ15" s="8" t="s">
        <v>83</v>
      </c>
      <c r="AK15" s="8">
        <v>1.2630000000000001</v>
      </c>
      <c r="AL15" s="8" t="s">
        <v>83</v>
      </c>
      <c r="AM15" s="8" t="s">
        <v>83</v>
      </c>
      <c r="AN15" s="8" t="s">
        <v>83</v>
      </c>
      <c r="AO15" s="8" t="s">
        <v>83</v>
      </c>
      <c r="AP15" s="8" t="s">
        <v>83</v>
      </c>
      <c r="AQ15" s="8">
        <v>3.6303333333333332</v>
      </c>
      <c r="AR15" s="8" t="s">
        <v>83</v>
      </c>
      <c r="AS15" s="8" t="s">
        <v>83</v>
      </c>
      <c r="AT15" s="8" t="s">
        <v>83</v>
      </c>
      <c r="AU15" s="8" t="s">
        <v>83</v>
      </c>
      <c r="AV15" s="8" t="s">
        <v>83</v>
      </c>
      <c r="AW15" s="8">
        <v>2.7189999999999994</v>
      </c>
      <c r="AX15" s="8" t="s">
        <v>83</v>
      </c>
      <c r="AY15" s="8">
        <v>9.0016666666666669</v>
      </c>
      <c r="AZ15" s="8" t="s">
        <v>83</v>
      </c>
      <c r="BA15" s="8" t="s">
        <v>83</v>
      </c>
      <c r="BB15" s="8" t="s">
        <v>83</v>
      </c>
      <c r="BC15" s="8" t="s">
        <v>83</v>
      </c>
      <c r="BD15" s="8" t="s">
        <v>83</v>
      </c>
      <c r="BE15" s="8">
        <v>0.62666666666666659</v>
      </c>
      <c r="BF15" s="8" t="s">
        <v>83</v>
      </c>
      <c r="BG15" s="8">
        <v>2.6479999999999997</v>
      </c>
      <c r="BH15" s="8" t="s">
        <v>83</v>
      </c>
      <c r="BI15" s="8" t="s">
        <v>83</v>
      </c>
      <c r="BJ15" s="8" t="s">
        <v>83</v>
      </c>
      <c r="BK15" s="8">
        <v>2.2566666666666668</v>
      </c>
      <c r="BL15" s="8" t="s">
        <v>83</v>
      </c>
      <c r="BM15" s="8" t="s">
        <v>83</v>
      </c>
      <c r="BN15" s="8" t="s">
        <v>83</v>
      </c>
      <c r="BO15" s="8">
        <v>0.77566666666666673</v>
      </c>
      <c r="BP15" s="8" t="s">
        <v>83</v>
      </c>
      <c r="BQ15" s="8" t="s">
        <v>83</v>
      </c>
      <c r="BR15" s="8" t="s">
        <v>83</v>
      </c>
      <c r="BS15" s="8" t="s">
        <v>83</v>
      </c>
      <c r="BT15" s="8" t="s">
        <v>83</v>
      </c>
      <c r="BU15" s="8">
        <v>1.3773333333333335</v>
      </c>
      <c r="BV15" s="8">
        <v>0</v>
      </c>
      <c r="BW15" s="8">
        <v>2.6573333333333333</v>
      </c>
      <c r="BX15" s="8" t="s">
        <v>83</v>
      </c>
      <c r="BY15" s="8" t="s">
        <v>83</v>
      </c>
      <c r="BZ15" s="8" t="s">
        <v>83</v>
      </c>
      <c r="CA15" s="8">
        <v>1.22</v>
      </c>
      <c r="CB15" s="8" t="s">
        <v>83</v>
      </c>
      <c r="CC15" s="8" t="s">
        <v>83</v>
      </c>
    </row>
    <row r="16" spans="1:81" ht="15.75" x14ac:dyDescent="0.25">
      <c r="A16" s="7" t="s">
        <v>97</v>
      </c>
      <c r="B16" s="8">
        <v>1.5939999999999999</v>
      </c>
      <c r="C16" s="8">
        <v>1.607</v>
      </c>
      <c r="D16" s="8">
        <v>2.9593333333333334</v>
      </c>
      <c r="E16" s="8">
        <v>3.8606666666666669</v>
      </c>
      <c r="F16" s="8">
        <v>1.4483333333333335</v>
      </c>
      <c r="G16" s="8">
        <v>1.3889999999999998</v>
      </c>
      <c r="H16" s="8">
        <v>1.6309999999999998</v>
      </c>
      <c r="I16" s="8">
        <v>2.9203333333333332</v>
      </c>
      <c r="J16" s="8">
        <v>2.0750000000000002</v>
      </c>
      <c r="K16" s="8">
        <v>2.2443333333333335</v>
      </c>
      <c r="L16" s="8">
        <v>6.0193333333333339</v>
      </c>
      <c r="M16" s="8">
        <v>1.8213333333333335</v>
      </c>
      <c r="N16" s="8">
        <v>1.915</v>
      </c>
      <c r="O16" s="8">
        <v>1.2953333333333334</v>
      </c>
      <c r="P16" s="8">
        <v>0.97099999999999997</v>
      </c>
      <c r="Q16" s="8">
        <v>1.4836666666666667</v>
      </c>
      <c r="R16" s="8">
        <v>2.415</v>
      </c>
      <c r="S16" s="8">
        <v>3.6323333333333334</v>
      </c>
      <c r="T16" s="8">
        <v>2.3559999999999999</v>
      </c>
      <c r="U16" s="8">
        <v>2.1726666666666667</v>
      </c>
      <c r="V16" s="8">
        <v>1.119</v>
      </c>
      <c r="W16" s="8">
        <v>0.95</v>
      </c>
      <c r="X16" s="8">
        <v>1.1759999999999999</v>
      </c>
      <c r="Y16" s="8">
        <v>1.0009999999999999</v>
      </c>
      <c r="Z16" s="8">
        <v>1.6319999999999999</v>
      </c>
      <c r="AA16" s="8">
        <v>2.9580000000000002</v>
      </c>
      <c r="AB16" s="8">
        <v>3.48</v>
      </c>
      <c r="AC16" s="8">
        <v>3.335666666666667</v>
      </c>
      <c r="AD16" s="8">
        <v>5.7460000000000004</v>
      </c>
      <c r="AE16" s="8">
        <v>1.9633333333333334</v>
      </c>
      <c r="AF16" s="8">
        <v>4.0586666666666664</v>
      </c>
      <c r="AG16" s="8">
        <v>1.877</v>
      </c>
      <c r="AH16" s="8">
        <v>1.2683333333333333</v>
      </c>
      <c r="AI16" s="8">
        <v>0.83433333333333326</v>
      </c>
      <c r="AJ16" s="8">
        <v>0.70666666666666667</v>
      </c>
      <c r="AK16" s="8">
        <v>0.89699999999999991</v>
      </c>
      <c r="AL16" s="8">
        <v>1.1166666666666667</v>
      </c>
      <c r="AM16" s="8">
        <v>2.4076666666666671</v>
      </c>
      <c r="AN16" s="8">
        <v>2.742</v>
      </c>
      <c r="AO16" s="8">
        <v>1.851</v>
      </c>
      <c r="AP16" s="8">
        <v>2.8</v>
      </c>
      <c r="AQ16" s="8">
        <v>2.2986666666666666</v>
      </c>
      <c r="AR16" s="8">
        <v>2.2509999999999999</v>
      </c>
      <c r="AS16" s="8">
        <v>1.1876666666666666</v>
      </c>
      <c r="AT16" s="8">
        <v>3.7406666666666664</v>
      </c>
      <c r="AU16" s="8">
        <v>5.8633333333333342</v>
      </c>
      <c r="AV16" s="8">
        <v>6.7006666666666668</v>
      </c>
      <c r="AW16" s="8">
        <v>4.3373333333333326</v>
      </c>
      <c r="AX16" s="8">
        <v>1.2670000000000001</v>
      </c>
      <c r="AY16" s="8">
        <v>4.9446666666666665</v>
      </c>
      <c r="AZ16" s="8">
        <v>1.5093333333333332</v>
      </c>
      <c r="BA16" s="8">
        <v>1.4566666666666666</v>
      </c>
      <c r="BB16" s="8">
        <v>1.7676666666666667</v>
      </c>
      <c r="BC16" s="8">
        <v>0.99533333333333329</v>
      </c>
      <c r="BD16" s="8">
        <v>1.5190000000000001</v>
      </c>
      <c r="BE16" s="8">
        <v>1.8526666666666665</v>
      </c>
      <c r="BF16" s="8">
        <v>2.4436666666666667</v>
      </c>
      <c r="BG16" s="8">
        <v>2.81</v>
      </c>
      <c r="BH16" s="8">
        <v>3.4289999999999998</v>
      </c>
      <c r="BI16" s="8">
        <v>3.1753333333333336</v>
      </c>
      <c r="BJ16" s="8">
        <v>1.7969999999999999</v>
      </c>
      <c r="BK16" s="8">
        <v>1.2636666666666667</v>
      </c>
      <c r="BL16" s="8">
        <v>1.8243333333333331</v>
      </c>
      <c r="BM16" s="8">
        <v>1.694</v>
      </c>
      <c r="BN16" s="8">
        <v>0.79133333333333322</v>
      </c>
      <c r="BO16" s="8">
        <v>0.57633333333333336</v>
      </c>
      <c r="BP16" s="8">
        <v>0.78533333333333333</v>
      </c>
      <c r="BQ16" s="8">
        <v>0.70233333333333337</v>
      </c>
      <c r="BR16" s="8">
        <v>1.0033333333333332</v>
      </c>
      <c r="BS16" s="8">
        <v>0.81033333333333335</v>
      </c>
      <c r="BT16" s="8">
        <v>0.94700000000000006</v>
      </c>
      <c r="BU16" s="8">
        <v>1.2346666666666666</v>
      </c>
      <c r="BV16" s="8">
        <v>0.56700000000000006</v>
      </c>
      <c r="BW16" s="8">
        <v>0.52700000000000002</v>
      </c>
      <c r="BX16" s="8">
        <v>0.3726666666666667</v>
      </c>
      <c r="BY16" s="8">
        <v>0.78299999999999992</v>
      </c>
      <c r="BZ16" s="8">
        <v>2.8216666666666668</v>
      </c>
      <c r="CA16" s="8">
        <v>1.7003333333333333</v>
      </c>
      <c r="CB16" s="8">
        <v>2.7126666666666668</v>
      </c>
      <c r="CC16" s="8">
        <v>3.0173333333333332</v>
      </c>
    </row>
    <row r="17" spans="1:81" ht="15.75" x14ac:dyDescent="0.25">
      <c r="A17" s="7" t="s">
        <v>98</v>
      </c>
      <c r="B17" s="8">
        <v>16.407</v>
      </c>
      <c r="C17" s="8">
        <v>14.159333333333334</v>
      </c>
      <c r="D17" s="8">
        <v>37.560666666666663</v>
      </c>
      <c r="E17" s="8">
        <v>16.568333333333335</v>
      </c>
      <c r="F17" s="8">
        <v>35.133333333333326</v>
      </c>
      <c r="G17" s="8">
        <v>64.713666666666668</v>
      </c>
      <c r="H17" s="8">
        <v>14.649666666666667</v>
      </c>
      <c r="I17" s="8">
        <v>64.162666666666667</v>
      </c>
      <c r="J17" s="8">
        <v>83.597333333333339</v>
      </c>
      <c r="K17" s="8">
        <v>99.963999999999999</v>
      </c>
      <c r="L17" s="8">
        <v>107.55266666666667</v>
      </c>
      <c r="M17" s="8">
        <v>34.736333333333334</v>
      </c>
      <c r="N17" s="8">
        <v>42.727333333333334</v>
      </c>
      <c r="O17" s="8">
        <v>79.191999999999993</v>
      </c>
      <c r="P17" s="8">
        <v>32.536666666666662</v>
      </c>
      <c r="Q17" s="8">
        <v>25.579666666666668</v>
      </c>
      <c r="R17" s="8">
        <v>9.4796666666666649</v>
      </c>
      <c r="S17" s="8">
        <v>37.089666666666666</v>
      </c>
      <c r="T17" s="8">
        <v>4.987333333333333</v>
      </c>
      <c r="U17" s="8">
        <v>6.0026666666666664</v>
      </c>
      <c r="V17" s="8">
        <v>40.82</v>
      </c>
      <c r="W17" s="8">
        <v>19.559666666666665</v>
      </c>
      <c r="X17" s="8">
        <v>123.28433333333334</v>
      </c>
      <c r="Y17" s="8">
        <v>4.7323333333333331</v>
      </c>
      <c r="Z17" s="8">
        <v>0.96599999999999997</v>
      </c>
      <c r="AA17" s="8">
        <v>0.77700000000000002</v>
      </c>
      <c r="AB17" s="8">
        <v>0.78066666666666662</v>
      </c>
      <c r="AC17" s="8">
        <v>2.3203333333333336</v>
      </c>
      <c r="AD17" s="8">
        <v>6.3983333333333334</v>
      </c>
      <c r="AE17" s="8">
        <v>4.6080000000000005</v>
      </c>
      <c r="AF17" s="8">
        <v>2.4409999999999998</v>
      </c>
      <c r="AG17" s="8">
        <v>4.4706666666666672</v>
      </c>
      <c r="AH17" s="8">
        <v>8.3563333333333336</v>
      </c>
      <c r="AI17" s="8">
        <v>34.488666666666667</v>
      </c>
      <c r="AJ17" s="8">
        <v>12.617999999999999</v>
      </c>
      <c r="AK17" s="8">
        <v>11.467333333333334</v>
      </c>
      <c r="AL17" s="8">
        <v>23.403666666666666</v>
      </c>
      <c r="AM17" s="8">
        <v>24.452999999999999</v>
      </c>
      <c r="AN17" s="8">
        <v>38.50566666666667</v>
      </c>
      <c r="AO17" s="8">
        <v>16.674999999999997</v>
      </c>
      <c r="AP17" s="8">
        <v>2.7856666666666667</v>
      </c>
      <c r="AQ17" s="8">
        <v>63.477333333333327</v>
      </c>
      <c r="AR17" s="8">
        <v>50.471999999999994</v>
      </c>
      <c r="AS17" s="8">
        <v>97.180666666666681</v>
      </c>
      <c r="AT17" s="8">
        <v>5.0476666666666663</v>
      </c>
      <c r="AU17" s="8">
        <v>38.068666666666665</v>
      </c>
      <c r="AV17" s="8">
        <v>21.984999999999999</v>
      </c>
      <c r="AW17" s="8">
        <v>17.005666666666666</v>
      </c>
      <c r="AX17" s="8">
        <v>77.783333333333331</v>
      </c>
      <c r="AY17" s="8">
        <v>51.839666666666666</v>
      </c>
      <c r="AZ17" s="8">
        <v>29.936666666666667</v>
      </c>
      <c r="BA17" s="8">
        <v>44.782666666666664</v>
      </c>
      <c r="BB17" s="8">
        <v>48.613999999999997</v>
      </c>
      <c r="BC17" s="8">
        <v>15.044333333333332</v>
      </c>
      <c r="BD17" s="8">
        <v>17.663333333333334</v>
      </c>
      <c r="BE17" s="8">
        <v>29.531666666666663</v>
      </c>
      <c r="BF17" s="8">
        <v>16.365666666666666</v>
      </c>
      <c r="BG17" s="8">
        <v>17.901333333333334</v>
      </c>
      <c r="BH17" s="8">
        <v>11.722333333333333</v>
      </c>
      <c r="BI17" s="8">
        <v>9.1216666666666661</v>
      </c>
      <c r="BJ17" s="8">
        <v>19.772000000000002</v>
      </c>
      <c r="BK17" s="8">
        <v>24.356666666666666</v>
      </c>
      <c r="BL17" s="8">
        <v>36.537666666666667</v>
      </c>
      <c r="BM17" s="8">
        <v>15.845999999999998</v>
      </c>
      <c r="BN17" s="8">
        <v>31.513999999999999</v>
      </c>
      <c r="BO17" s="8">
        <v>22.429666666666666</v>
      </c>
      <c r="BP17" s="8">
        <v>34.721333333333334</v>
      </c>
      <c r="BQ17" s="8">
        <v>53.678000000000004</v>
      </c>
      <c r="BR17" s="8">
        <v>2.3776666666666664</v>
      </c>
      <c r="BS17" s="8">
        <v>3.781333333333333</v>
      </c>
      <c r="BT17" s="8">
        <v>2.6196666666666664</v>
      </c>
      <c r="BU17" s="8">
        <v>7.5526666666666671</v>
      </c>
      <c r="BV17" s="8">
        <v>36.480666666666671</v>
      </c>
      <c r="BW17" s="8">
        <v>54.115666666666669</v>
      </c>
      <c r="BX17" s="8">
        <v>56.73233333333333</v>
      </c>
      <c r="BY17" s="8">
        <v>32.727666666666671</v>
      </c>
      <c r="BZ17" s="8">
        <v>15.323000000000002</v>
      </c>
      <c r="CA17" s="8">
        <v>21.212</v>
      </c>
      <c r="CB17" s="8">
        <v>92.275666666666652</v>
      </c>
      <c r="CC17" s="8">
        <v>20.132333333333332</v>
      </c>
    </row>
    <row r="23" spans="1:81" x14ac:dyDescent="0.25">
      <c r="A23" t="s">
        <v>81</v>
      </c>
      <c r="B23" t="s">
        <v>123</v>
      </c>
    </row>
    <row r="24" spans="1:81" x14ac:dyDescent="0.25">
      <c r="A24" t="s">
        <v>82</v>
      </c>
      <c r="B24" t="s">
        <v>124</v>
      </c>
    </row>
    <row r="25" spans="1:81" x14ac:dyDescent="0.25">
      <c r="A25" t="s">
        <v>85</v>
      </c>
      <c r="B25" t="s">
        <v>125</v>
      </c>
    </row>
    <row r="26" spans="1:81" x14ac:dyDescent="0.25">
      <c r="A26" t="s">
        <v>86</v>
      </c>
      <c r="B26" t="s">
        <v>126</v>
      </c>
    </row>
    <row r="27" spans="1:81" x14ac:dyDescent="0.25">
      <c r="A27" t="s">
        <v>87</v>
      </c>
      <c r="B27" t="s">
        <v>127</v>
      </c>
    </row>
    <row r="28" spans="1:81" x14ac:dyDescent="0.25">
      <c r="A28" t="s">
        <v>88</v>
      </c>
      <c r="B28" t="s">
        <v>128</v>
      </c>
    </row>
    <row r="29" spans="1:81" x14ac:dyDescent="0.25">
      <c r="A29" t="s">
        <v>89</v>
      </c>
      <c r="B29" t="s">
        <v>129</v>
      </c>
    </row>
    <row r="30" spans="1:81" x14ac:dyDescent="0.25">
      <c r="A30" t="s">
        <v>90</v>
      </c>
      <c r="B30" t="s">
        <v>90</v>
      </c>
    </row>
    <row r="31" spans="1:81" x14ac:dyDescent="0.25">
      <c r="A31" t="s">
        <v>91</v>
      </c>
      <c r="B31" t="s">
        <v>130</v>
      </c>
    </row>
    <row r="32" spans="1:81" x14ac:dyDescent="0.25">
      <c r="A32" t="s">
        <v>92</v>
      </c>
      <c r="B32" t="s">
        <v>131</v>
      </c>
    </row>
    <row r="33" spans="1:2" x14ac:dyDescent="0.25">
      <c r="A33" t="s">
        <v>93</v>
      </c>
      <c r="B33" t="s">
        <v>132</v>
      </c>
    </row>
    <row r="34" spans="1:2" x14ac:dyDescent="0.25">
      <c r="A34" t="s">
        <v>94</v>
      </c>
      <c r="B34" t="s">
        <v>133</v>
      </c>
    </row>
    <row r="35" spans="1:2" x14ac:dyDescent="0.25">
      <c r="A35" t="s">
        <v>95</v>
      </c>
      <c r="B35" t="s">
        <v>134</v>
      </c>
    </row>
    <row r="36" spans="1:2" x14ac:dyDescent="0.25">
      <c r="A36" t="s">
        <v>96</v>
      </c>
      <c r="B36" t="s">
        <v>135</v>
      </c>
    </row>
    <row r="37" spans="1:2" x14ac:dyDescent="0.25">
      <c r="A37" t="s">
        <v>97</v>
      </c>
      <c r="B37" t="s">
        <v>136</v>
      </c>
    </row>
    <row r="38" spans="1:2" x14ac:dyDescent="0.25">
      <c r="A38" t="s">
        <v>98</v>
      </c>
      <c r="B3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STD</vt:lpstr>
      <vt:lpstr>Calculation</vt:lpstr>
      <vt:lpstr>concentration ng 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Manubolu, Manjunath</dc:creator>
  <cp:lastModifiedBy>Spakowicz, Daniel</cp:lastModifiedBy>
  <dcterms:created xsi:type="dcterms:W3CDTF">2015-06-05T18:17:20Z</dcterms:created>
  <dcterms:modified xsi:type="dcterms:W3CDTF">2022-12-21T15:41:20Z</dcterms:modified>
</cp:coreProperties>
</file>